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s-wicks-5min-0101-0819" sheetId="1" state="visible" r:id="rId3"/>
    <sheet name="Sheet2" sheetId="2" state="visible" r:id="rId4"/>
  </sheets>
  <externalReferences>
    <externalReference r:id="rId5"/>
    <externalReference r:id="rId6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<sst xmlns="http://schemas.openxmlformats.org/spreadsheetml/2006/main" count="1182" uniqueCount="199">
  <si>
    <t xml:space="preserve">position size</t>
  </si>
  <si>
    <t xml:space="preserve">compund win</t>
  </si>
  <si>
    <t xml:space="preserve">account</t>
  </si>
  <si>
    <t xml:space="preserve">FTSE</t>
  </si>
  <si>
    <t xml:space="preserve">cac</t>
  </si>
  <si>
    <t xml:space="preserve">DAX</t>
  </si>
  <si>
    <t xml:space="preserve">Hangseng</t>
  </si>
  <si>
    <t xml:space="preserve">Nikkei</t>
  </si>
  <si>
    <t xml:space="preserve">Account</t>
  </si>
  <si>
    <t xml:space="preserve">ftse</t>
  </si>
  <si>
    <t xml:space="preserve">dax</t>
  </si>
  <si>
    <t xml:space="preserve">hangseng</t>
  </si>
  <si>
    <t xml:space="preserve">nikkei</t>
  </si>
  <si>
    <t xml:space="preserve">pos</t>
  </si>
  <si>
    <t xml:space="preserve">profit</t>
  </si>
  <si>
    <t xml:space="preserve">% win</t>
  </si>
  <si>
    <t xml:space="preserve">count win</t>
  </si>
  <si>
    <t xml:space="preserve">open_date</t>
  </si>
  <si>
    <t xml:space="preserve">open_time</t>
  </si>
  <si>
    <t xml:space="preserve">close_date</t>
  </si>
  <si>
    <t xml:space="preserve">close_time</t>
  </si>
  <si>
    <t xml:space="preserve">market</t>
  </si>
  <si>
    <t xml:space="preserve">direction</t>
  </si>
  <si>
    <t xml:space="preserve">entry</t>
  </si>
  <si>
    <t xml:space="preserve">exit</t>
  </si>
  <si>
    <t xml:space="preserve">points</t>
  </si>
  <si>
    <t xml:space="preserve">size</t>
  </si>
  <si>
    <t xml:space="preserve">gbp</t>
  </si>
  <si>
    <t xml:space="preserve">winner</t>
  </si>
  <si>
    <t xml:space="preserve">account (wicks only)</t>
  </si>
  <si>
    <t xml:space="preserve">tradeable</t>
  </si>
  <si>
    <t xml:space="preserve">cash session</t>
  </si>
  <si>
    <t xml:space="preserve">09:45</t>
  </si>
  <si>
    <t xml:space="preserve">10:30</t>
  </si>
  <si>
    <t xml:space="preserve">BUY</t>
  </si>
  <si>
    <t xml:space="preserve">10:35</t>
  </si>
  <si>
    <t xml:space="preserve">12:25</t>
  </si>
  <si>
    <t xml:space="preserve">09:10</t>
  </si>
  <si>
    <t xml:space="preserve">04:30</t>
  </si>
  <si>
    <t xml:space="preserve">06:00</t>
  </si>
  <si>
    <t xml:space="preserve">07:20</t>
  </si>
  <si>
    <t xml:space="preserve">08:15</t>
  </si>
  <si>
    <t xml:space="preserve">10:00</t>
  </si>
  <si>
    <t xml:space="preserve">10:55</t>
  </si>
  <si>
    <t xml:space="preserve">05:20</t>
  </si>
  <si>
    <t xml:space="preserve">06:25</t>
  </si>
  <si>
    <t xml:space="preserve">10:25</t>
  </si>
  <si>
    <t xml:space="preserve">11:30</t>
  </si>
  <si>
    <t xml:space="preserve">05:55</t>
  </si>
  <si>
    <t xml:space="preserve">10:40</t>
  </si>
  <si>
    <t xml:space="preserve">12:45</t>
  </si>
  <si>
    <t xml:space="preserve">14:55</t>
  </si>
  <si>
    <t xml:space="preserve">19:45</t>
  </si>
  <si>
    <t xml:space="preserve">06:55</t>
  </si>
  <si>
    <t xml:space="preserve">09:25</t>
  </si>
  <si>
    <t xml:space="preserve">09:50</t>
  </si>
  <si>
    <t xml:space="preserve">06:10</t>
  </si>
  <si>
    <t xml:space="preserve">07:15</t>
  </si>
  <si>
    <t xml:space="preserve">09:35</t>
  </si>
  <si>
    <t xml:space="preserve">20:55</t>
  </si>
  <si>
    <t xml:space="preserve">06:50</t>
  </si>
  <si>
    <t xml:space="preserve">08:55</t>
  </si>
  <si>
    <t xml:space="preserve">SELL</t>
  </si>
  <si>
    <t xml:space="preserve">12:20</t>
  </si>
  <si>
    <t xml:space="preserve">13:35</t>
  </si>
  <si>
    <t xml:space="preserve">05:00</t>
  </si>
  <si>
    <t xml:space="preserve">12:10</t>
  </si>
  <si>
    <t xml:space="preserve">08:10</t>
  </si>
  <si>
    <t xml:space="preserve">09:55</t>
  </si>
  <si>
    <t xml:space="preserve">11:45</t>
  </si>
  <si>
    <t xml:space="preserve">07:30</t>
  </si>
  <si>
    <t xml:space="preserve">08:00</t>
  </si>
  <si>
    <t xml:space="preserve">14:20</t>
  </si>
  <si>
    <t xml:space="preserve">05:35</t>
  </si>
  <si>
    <t xml:space="preserve">08:20</t>
  </si>
  <si>
    <t xml:space="preserve">09:15</t>
  </si>
  <si>
    <t xml:space="preserve">13:00</t>
  </si>
  <si>
    <t xml:space="preserve">13:30</t>
  </si>
  <si>
    <t xml:space="preserve">08:30</t>
  </si>
  <si>
    <t xml:space="preserve">11:00</t>
  </si>
  <si>
    <t xml:space="preserve">19:40</t>
  </si>
  <si>
    <t xml:space="preserve">20:20</t>
  </si>
  <si>
    <t xml:space="preserve">06:35</t>
  </si>
  <si>
    <t xml:space="preserve">07:10</t>
  </si>
  <si>
    <t xml:space="preserve">04:25</t>
  </si>
  <si>
    <t xml:space="preserve">05:40</t>
  </si>
  <si>
    <t xml:space="preserve">11:55</t>
  </si>
  <si>
    <t xml:space="preserve">12:50</t>
  </si>
  <si>
    <t xml:space="preserve">10:05</t>
  </si>
  <si>
    <t xml:space="preserve">11:05</t>
  </si>
  <si>
    <t xml:space="preserve">13:40</t>
  </si>
  <si>
    <t xml:space="preserve">09:00</t>
  </si>
  <si>
    <t xml:space="preserve">11:25</t>
  </si>
  <si>
    <t xml:space="preserve">01:30</t>
  </si>
  <si>
    <t xml:space="preserve">09:30</t>
  </si>
  <si>
    <t xml:space="preserve">12:40</t>
  </si>
  <si>
    <t xml:space="preserve">07:05</t>
  </si>
  <si>
    <t xml:space="preserve">09:40</t>
  </si>
  <si>
    <t xml:space="preserve">10:50</t>
  </si>
  <si>
    <t xml:space="preserve">08:40</t>
  </si>
  <si>
    <t xml:space="preserve">10:20</t>
  </si>
  <si>
    <t xml:space="preserve">07:45</t>
  </si>
  <si>
    <t xml:space="preserve">08:45</t>
  </si>
  <si>
    <t xml:space="preserve">08:35</t>
  </si>
  <si>
    <t xml:space="preserve">07:50</t>
  </si>
  <si>
    <t xml:space="preserve">06:30</t>
  </si>
  <si>
    <t xml:space="preserve">14:15</t>
  </si>
  <si>
    <t xml:space="preserve">15:40</t>
  </si>
  <si>
    <t xml:space="preserve">20:00</t>
  </si>
  <si>
    <t xml:space="preserve">03:35</t>
  </si>
  <si>
    <t xml:space="preserve">06:15</t>
  </si>
  <si>
    <t xml:space="preserve">14:50</t>
  </si>
  <si>
    <t xml:space="preserve">14:10</t>
  </si>
  <si>
    <t xml:space="preserve">09:20</t>
  </si>
  <si>
    <t xml:space="preserve">10:10</t>
  </si>
  <si>
    <t xml:space="preserve">10:45</t>
  </si>
  <si>
    <t xml:space="preserve">06:45</t>
  </si>
  <si>
    <t xml:space="preserve">07:25</t>
  </si>
  <si>
    <t xml:space="preserve">08:05</t>
  </si>
  <si>
    <t xml:space="preserve">11:15</t>
  </si>
  <si>
    <t xml:space="preserve">08:50</t>
  </si>
  <si>
    <t xml:space="preserve">11:40</t>
  </si>
  <si>
    <t xml:space="preserve">14:05</t>
  </si>
  <si>
    <t xml:space="preserve">13:10</t>
  </si>
  <si>
    <t xml:space="preserve">10:15</t>
  </si>
  <si>
    <t xml:space="preserve">12:05</t>
  </si>
  <si>
    <t xml:space="preserve">12:55</t>
  </si>
  <si>
    <t xml:space="preserve">16:50</t>
  </si>
  <si>
    <t xml:space="preserve">20:50</t>
  </si>
  <si>
    <t xml:space="preserve">13:25</t>
  </si>
  <si>
    <t xml:space="preserve">13:55</t>
  </si>
  <si>
    <t xml:space="preserve">16:10</t>
  </si>
  <si>
    <t xml:space="preserve">11:35</t>
  </si>
  <si>
    <t xml:space="preserve">13:50</t>
  </si>
  <si>
    <t xml:space="preserve">17:10</t>
  </si>
  <si>
    <t xml:space="preserve">15:00</t>
  </si>
  <si>
    <t xml:space="preserve">15:20</t>
  </si>
  <si>
    <t xml:space="preserve">04:55</t>
  </si>
  <si>
    <t xml:space="preserve">07:00</t>
  </si>
  <si>
    <t xml:space="preserve">15:10</t>
  </si>
  <si>
    <t xml:space="preserve">18:20</t>
  </si>
  <si>
    <t xml:space="preserve">16:25</t>
  </si>
  <si>
    <t xml:space="preserve">15:30</t>
  </si>
  <si>
    <t xml:space="preserve">18:05</t>
  </si>
  <si>
    <t xml:space="preserve">14:30</t>
  </si>
  <si>
    <t xml:space="preserve">14:45</t>
  </si>
  <si>
    <t xml:space="preserve">15:05</t>
  </si>
  <si>
    <t xml:space="preserve">16:55</t>
  </si>
  <si>
    <t xml:space="preserve">17:45</t>
  </si>
  <si>
    <t xml:space="preserve">12:15</t>
  </si>
  <si>
    <t xml:space="preserve">06:40</t>
  </si>
  <si>
    <t xml:space="preserve">15:35</t>
  </si>
  <si>
    <t xml:space="preserve">20:25</t>
  </si>
  <si>
    <t xml:space="preserve">18:40</t>
  </si>
  <si>
    <t xml:space="preserve">06:20</t>
  </si>
  <si>
    <t xml:space="preserve">11:50</t>
  </si>
  <si>
    <t xml:space="preserve">17:30</t>
  </si>
  <si>
    <t xml:space="preserve">19:30</t>
  </si>
  <si>
    <t xml:space="preserve">13:20</t>
  </si>
  <si>
    <t xml:space="preserve">18:00</t>
  </si>
  <si>
    <t xml:space="preserve">19:50</t>
  </si>
  <si>
    <t xml:space="preserve">20:40</t>
  </si>
  <si>
    <t xml:space="preserve">16:40</t>
  </si>
  <si>
    <t xml:space="preserve">18:10</t>
  </si>
  <si>
    <t xml:space="preserve">04:10</t>
  </si>
  <si>
    <t xml:space="preserve">19:55</t>
  </si>
  <si>
    <t xml:space="preserve">03:20</t>
  </si>
  <si>
    <t xml:space="preserve">11:20</t>
  </si>
  <si>
    <t xml:space="preserve">17:15</t>
  </si>
  <si>
    <t xml:space="preserve">18:50</t>
  </si>
  <si>
    <t xml:space="preserve">19:35</t>
  </si>
  <si>
    <t xml:space="preserve">04:00</t>
  </si>
  <si>
    <t xml:space="preserve">05:25</t>
  </si>
  <si>
    <t xml:space="preserve">15:55</t>
  </si>
  <si>
    <t xml:space="preserve">07:35</t>
  </si>
  <si>
    <t xml:space="preserve">17:00</t>
  </si>
  <si>
    <t xml:space="preserve">18:45</t>
  </si>
  <si>
    <t xml:space="preserve">14:40</t>
  </si>
  <si>
    <t xml:space="preserve">12:30</t>
  </si>
  <si>
    <t xml:space="preserve">05:30</t>
  </si>
  <si>
    <t xml:space="preserve">16:20</t>
  </si>
  <si>
    <t xml:space="preserve">17:55</t>
  </si>
  <si>
    <t xml:space="preserve">18:35</t>
  </si>
  <si>
    <t xml:space="preserve">19:05</t>
  </si>
  <si>
    <t xml:space="preserve">16:30</t>
  </si>
  <si>
    <t xml:space="preserve">15:45</t>
  </si>
  <si>
    <t xml:space="preserve">20:45</t>
  </si>
  <si>
    <t xml:space="preserve">14:00</t>
  </si>
  <si>
    <t xml:space="preserve">07:40</t>
  </si>
  <si>
    <t xml:space="preserve">07:55</t>
  </si>
  <si>
    <t xml:space="preserve">date</t>
  </si>
  <si>
    <t xml:space="preserve">same_day_gate</t>
  </si>
  <si>
    <t xml:space="preserve">lag_gate_score</t>
  </si>
  <si>
    <t xml:space="preserve">lag_days_available</t>
  </si>
  <si>
    <t xml:space="preserve">mixed</t>
  </si>
  <si>
    <t xml:space="preserve">NO</t>
  </si>
  <si>
    <t xml:space="preserve">aligned</t>
  </si>
  <si>
    <t xml:space="preserve">YES</t>
  </si>
  <si>
    <t xml:space="preserve">unknown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</si>
</sst>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@"/>
    <numFmt numFmtId="167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Downloads/eu_gate_values_2026.csv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RSI-gradient/trades-RSI-gradient-5min-250801-260820.csv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u_gate_values_2026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rades-RSI-gradient-5min-250801-260820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9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U8" activeCellId="0" sqref="U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9.92"/>
    <col collapsed="false" customWidth="true" hidden="false" outlineLevel="0" max="4" min="3" style="0" width="10.33"/>
    <col collapsed="false" customWidth="true" hidden="false" outlineLevel="0" max="5" min="5" style="0" width="9.36"/>
    <col collapsed="false" customWidth="true" hidden="false" outlineLevel="0" max="6" min="6" style="0" width="8.39"/>
    <col collapsed="false" customWidth="true" hidden="false" outlineLevel="0" max="8" min="7" style="0" width="12.84"/>
    <col collapsed="false" customWidth="true" hidden="false" outlineLevel="0" max="9" min="9" style="0" width="6.44"/>
    <col collapsed="false" customWidth="true" hidden="false" outlineLevel="0" max="10" min="10" style="0" width="4.91"/>
    <col collapsed="false" customWidth="true" hidden="false" outlineLevel="0" max="11" min="11" style="0" width="6.58"/>
  </cols>
  <sheetData>
    <row r="1" customFormat="false" ht="11.15" hidden="false" customHeight="true" outlineLevel="0" collapsed="false">
      <c r="I1" s="0" t="n">
        <v>287.77</v>
      </c>
      <c r="J1" s="0" t="n">
        <f aca="false">100* COUNTIF(L8:L500, "TRUE")/COUNT(L8:L500)</f>
        <v>51.980198019802</v>
      </c>
      <c r="K1" s="0" t="n">
        <v>400</v>
      </c>
      <c r="P1" s="0" t="s">
        <v>0</v>
      </c>
      <c r="W1" s="0" t="s">
        <v>1</v>
      </c>
      <c r="Z1" s="0" t="s">
        <v>2</v>
      </c>
    </row>
    <row r="2" customFormat="false" ht="12.8" hidden="false" customHeight="false" outlineLevel="0" collapsed="false"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M2" s="0" t="s">
        <v>8</v>
      </c>
      <c r="N2" s="0" t="s">
        <v>9</v>
      </c>
      <c r="O2" s="0" t="s">
        <v>4</v>
      </c>
      <c r="P2" s="0" t="s">
        <v>5</v>
      </c>
      <c r="Q2" s="0" t="s">
        <v>6</v>
      </c>
      <c r="R2" s="0" t="s">
        <v>7</v>
      </c>
      <c r="U2" s="0" t="s">
        <v>9</v>
      </c>
      <c r="V2" s="0" t="s">
        <v>4</v>
      </c>
      <c r="W2" s="0" t="s">
        <v>10</v>
      </c>
      <c r="X2" s="0" t="s">
        <v>11</v>
      </c>
      <c r="Y2" s="0" t="s">
        <v>12</v>
      </c>
    </row>
    <row r="3" customFormat="false" ht="12.8" hidden="false" customHeight="false" outlineLevel="0" collapsed="false">
      <c r="D3" s="0" t="s">
        <v>13</v>
      </c>
      <c r="E3" s="0" t="n">
        <v>0.8</v>
      </c>
      <c r="F3" s="0" t="n">
        <v>1</v>
      </c>
      <c r="G3" s="0" t="n">
        <v>0.37</v>
      </c>
      <c r="H3" s="0" t="n">
        <v>0.2</v>
      </c>
      <c r="I3" s="0" t="n">
        <v>0.15</v>
      </c>
      <c r="N3" s="0" t="n">
        <v>0.8</v>
      </c>
      <c r="O3" s="0" t="n">
        <v>1</v>
      </c>
      <c r="P3" s="0" t="n">
        <v>0.3</v>
      </c>
      <c r="Q3" s="0" t="n">
        <v>0.2</v>
      </c>
      <c r="R3" s="0" t="n">
        <v>0.15</v>
      </c>
    </row>
    <row r="4" customFormat="false" ht="12.8" hidden="false" customHeight="false" outlineLevel="0" collapsed="false">
      <c r="D4" s="0" t="s">
        <v>14</v>
      </c>
      <c r="E4" s="0" t="n">
        <f aca="false">SUMIF($E8:$E500,E$2,$K:$K)</f>
        <v>-21.39</v>
      </c>
      <c r="F4" s="0" t="n">
        <f aca="false">SUMIF($E8:$E500,F$2,$K:$K)</f>
        <v>-16.68</v>
      </c>
      <c r="G4" s="0" t="n">
        <f aca="false">SUMIF($E8:$E500,G$2,$K:$K)</f>
        <v>194.31</v>
      </c>
      <c r="H4" s="0" t="n">
        <f aca="false">SUMIF($E8:$E500,H$2,$K:$K)</f>
        <v>57.6</v>
      </c>
      <c r="I4" s="0" t="n">
        <f aca="false">SUMIF($E8:$E500,I$2,$K:$K)</f>
        <v>0</v>
      </c>
      <c r="S4" s="0" t="n">
        <f aca="false">SUM(S9:S601)</f>
        <v>517.4</v>
      </c>
      <c r="T4" s="0" t="n">
        <f aca="false">SUM(T9:T601)</f>
        <v>137802.63</v>
      </c>
      <c r="U4" s="0" t="n">
        <f aca="false">SUM(U9:U601)</f>
        <v>0</v>
      </c>
      <c r="V4" s="0" t="n">
        <f aca="false">SUM(V9:V601)</f>
        <v>0</v>
      </c>
      <c r="W4" s="0" t="n">
        <f aca="false">SUM(W9:W601)</f>
        <v>0</v>
      </c>
    </row>
    <row r="5" customFormat="false" ht="12.8" hidden="false" customHeight="false" outlineLevel="0" collapsed="false">
      <c r="D5" s="0" t="s">
        <v>15</v>
      </c>
      <c r="E5" s="0" t="n">
        <v>66.6666666666667</v>
      </c>
      <c r="F5" s="0" t="n">
        <v>50</v>
      </c>
      <c r="G5" s="0" t="n">
        <v>48.936170212766</v>
      </c>
      <c r="H5" s="0" t="n">
        <v>58.3333333333333</v>
      </c>
      <c r="I5" s="0" t="n">
        <v>45.4545454545455</v>
      </c>
      <c r="S5" s="0" t="n">
        <f aca="false">100*COUNTIF(S8:S100, "&gt;0")/COUNT(S8:S100)</f>
        <v>21.505376344086</v>
      </c>
      <c r="T5" s="0" t="n">
        <f aca="false">100*COUNTIF(T8:T100, "&gt;0")/COUNT(T8:T100)</f>
        <v>100</v>
      </c>
      <c r="U5" s="0" t="e">
        <f aca="false">100*COUNTIF(U8:U100, "&gt;0")/COUNT(U8:U100)</f>
        <v>#DIV/0!</v>
      </c>
      <c r="V5" s="0" t="e">
        <f aca="false">100*COUNTIF(V8:V100, "&gt;0")/COUNT(V8:V100)</f>
        <v>#DIV/0!</v>
      </c>
      <c r="W5" s="0" t="e">
        <f aca="false">100*COUNTIF(W8:W100, "&gt;0")/COUNT(W8:W100)</f>
        <v>#DIV/0!</v>
      </c>
    </row>
    <row r="6" customFormat="false" ht="12.8" hidden="false" customHeight="false" outlineLevel="0" collapsed="false">
      <c r="D6" s="0" t="s">
        <v>16</v>
      </c>
      <c r="E6" s="0" t="n">
        <v>48</v>
      </c>
      <c r="F6" s="0" t="n">
        <v>34</v>
      </c>
      <c r="G6" s="0" t="n">
        <v>46</v>
      </c>
      <c r="H6" s="0" t="n">
        <v>28</v>
      </c>
      <c r="I6" s="0" t="n">
        <v>25</v>
      </c>
      <c r="Q6" s="0" t="n">
        <f aca="false">100* COUNTIF(Q9:Q500, "TRUE")/(COUNTIF(Q9:Q500, "FALSE")+COUNTIF(Q9:Q500, "TRUE"))</f>
        <v>57.6923076923077</v>
      </c>
      <c r="S6" s="0" t="n">
        <f aca="false">100* COUNTIF(S9:S500, "&gt;0")/(COUNTIF(S9:S500, "&lt;0")+COUNTIF(S9:S500, "&gt;0"))</f>
        <v>100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s">
        <v>19</v>
      </c>
      <c r="D7" s="0" t="s">
        <v>20</v>
      </c>
      <c r="E7" s="0" t="s">
        <v>21</v>
      </c>
      <c r="F7" s="0" t="s">
        <v>22</v>
      </c>
      <c r="G7" s="0" t="s">
        <v>23</v>
      </c>
      <c r="H7" s="0" t="s">
        <v>24</v>
      </c>
      <c r="I7" s="0" t="s">
        <v>25</v>
      </c>
      <c r="J7" s="0" t="s">
        <v>26</v>
      </c>
      <c r="K7" s="0" t="s">
        <v>27</v>
      </c>
      <c r="L7" s="0" t="s">
        <v>28</v>
      </c>
      <c r="M7" s="0" t="s">
        <v>29</v>
      </c>
      <c r="N7" s="0" t="s">
        <v>30</v>
      </c>
      <c r="Q7" s="0" t="s">
        <v>28</v>
      </c>
      <c r="R7" s="0" t="s">
        <v>31</v>
      </c>
    </row>
    <row r="8" customFormat="false" ht="12.8" hidden="false" customHeight="false" outlineLevel="0" collapsed="false">
      <c r="A8" s="1" t="n">
        <v>46028</v>
      </c>
      <c r="B8" s="2" t="s">
        <v>32</v>
      </c>
      <c r="C8" s="1" t="n">
        <v>46028</v>
      </c>
      <c r="D8" s="2" t="s">
        <v>33</v>
      </c>
      <c r="E8" s="0" t="s">
        <v>10</v>
      </c>
      <c r="F8" s="0" t="s">
        <v>34</v>
      </c>
      <c r="G8" s="0" t="n">
        <v>25046</v>
      </c>
      <c r="H8" s="0" t="n">
        <v>25034</v>
      </c>
      <c r="I8" s="0" t="n">
        <v>-12</v>
      </c>
      <c r="J8" s="0" t="n">
        <f aca="false"> HLOOKUP(E8, $E$2:$I$3, 2, 0)</f>
        <v>0.37</v>
      </c>
      <c r="K8" s="0" t="n">
        <v>-4.44</v>
      </c>
      <c r="L8" s="3" t="b">
        <f aca="false">IF($K8&gt;0,TRUE())</f>
        <v>0</v>
      </c>
      <c r="M8" s="4" t="n">
        <f aca="false">K1+K8</f>
        <v>395.56</v>
      </c>
      <c r="N8" s="0" t="str">
        <f aca="false">VLOOKUP(C8, Sheet2!$A$2:$E$166,  5)</f>
        <v>NO</v>
      </c>
      <c r="O8" s="4" t="n">
        <f aca="false">IF(N8="YES", K8, 0)</f>
        <v>0</v>
      </c>
      <c r="P8" s="4" t="n">
        <f aca="false">K1</f>
        <v>400</v>
      </c>
      <c r="Q8" s="5" t="str">
        <f aca="false">IF(O8=0, "N/A", IF(O8&gt;0,TRUE()))</f>
        <v>N/A</v>
      </c>
      <c r="R8" s="3" t="b">
        <f aca="false">AND(TIMEVALUE(B8)&gt;=TIME(8,0,0), TIMEVALUE(B8)&lt;=TIME(16,30,0))</f>
        <v>1</v>
      </c>
      <c r="S8" s="5" t="n">
        <f aca="false">IF(AND(Q8=1, R8=1), O8, 0)</f>
        <v>0</v>
      </c>
      <c r="T8" s="4" t="n">
        <f aca="false">K1</f>
        <v>400</v>
      </c>
      <c r="U8" s="4" t="e">
        <f aca="false">[1]eu_gate_values_2026!B178,'[2]trades-RSI-gradient-5min-250801-260820'!L2='[2]trades-RSI-gradient-5min-250801-260820'!L2='[2]trades-RSI-gradient-5min-250801-260820'!L2=</f>
        <v>#VALUE!</v>
      </c>
    </row>
    <row r="9" customFormat="false" ht="12.8" hidden="false" customHeight="false" outlineLevel="0" collapsed="false">
      <c r="A9" s="1" t="n">
        <v>46028</v>
      </c>
      <c r="B9" s="2" t="s">
        <v>35</v>
      </c>
      <c r="C9" s="1" t="n">
        <v>46028</v>
      </c>
      <c r="D9" s="2" t="s">
        <v>36</v>
      </c>
      <c r="E9" s="0" t="s">
        <v>10</v>
      </c>
      <c r="F9" s="0" t="s">
        <v>34</v>
      </c>
      <c r="G9" s="0" t="n">
        <v>25036</v>
      </c>
      <c r="H9" s="0" t="n">
        <v>25080</v>
      </c>
      <c r="I9" s="0" t="n">
        <v>44</v>
      </c>
      <c r="J9" s="0" t="n">
        <f aca="false"> HLOOKUP(E9, $E$2:$I$3, 2, 0)</f>
        <v>0.37</v>
      </c>
      <c r="K9" s="0" t="n">
        <v>16.28</v>
      </c>
      <c r="L9" s="3" t="n">
        <f aca="false">IF($K9&gt;0,TRUE())</f>
        <v>1</v>
      </c>
      <c r="M9" s="4" t="n">
        <f aca="false">M8+K9</f>
        <v>411.84</v>
      </c>
      <c r="N9" s="4" t="str">
        <f aca="false">VLOOKUP(C9, Sheet2!$A$2:$E$166,  5)</f>
        <v>NO</v>
      </c>
      <c r="O9" s="4" t="n">
        <f aca="false">IF(N9="YES", K9, 0)</f>
        <v>0</v>
      </c>
      <c r="P9" s="4" t="n">
        <f aca="false">P8+O9</f>
        <v>400</v>
      </c>
      <c r="Q9" s="5" t="str">
        <f aca="false">IF(O9=0, "N/A", IF(O9&gt;0,TRUE()))</f>
        <v>N/A</v>
      </c>
      <c r="R9" s="3" t="n">
        <f aca="false">AND(TIMEVALUE(B9)&gt;=TIME(8,0,0), TIMEVALUE(B9)&lt;=TIME(16,30,0))</f>
        <v>1</v>
      </c>
      <c r="S9" s="5" t="n">
        <f aca="false">IF(AND(Q9=1, R9=1), O9, 0)</f>
        <v>0</v>
      </c>
      <c r="T9" s="4" t="n">
        <f aca="false">T8+S9</f>
        <v>400</v>
      </c>
    </row>
    <row r="10" customFormat="false" ht="12.8" hidden="false" customHeight="false" outlineLevel="0" collapsed="false">
      <c r="A10" s="1" t="n">
        <v>46029</v>
      </c>
      <c r="B10" s="2" t="s">
        <v>37</v>
      </c>
      <c r="C10" s="1" t="n">
        <v>46029</v>
      </c>
      <c r="D10" s="2" t="s">
        <v>33</v>
      </c>
      <c r="E10" s="0" t="s">
        <v>9</v>
      </c>
      <c r="F10" s="0" t="s">
        <v>34</v>
      </c>
      <c r="G10" s="0" t="n">
        <v>10052</v>
      </c>
      <c r="H10" s="0" t="n">
        <v>10058.5</v>
      </c>
      <c r="I10" s="0" t="n">
        <v>6.5</v>
      </c>
      <c r="J10" s="0" t="n">
        <f aca="false"> HLOOKUP(E10, $E$2:$I$3, 2, 0)</f>
        <v>0.8</v>
      </c>
      <c r="K10" s="0" t="n">
        <v>5.2</v>
      </c>
      <c r="L10" s="3" t="n">
        <f aca="false">IF($K10&gt;0,TRUE())</f>
        <v>1</v>
      </c>
      <c r="M10" s="4" t="n">
        <f aca="false">M9+K10</f>
        <v>417.04</v>
      </c>
      <c r="N10" s="4" t="str">
        <f aca="false">VLOOKUP(C10, Sheet2!$A$2:$E$166,  5)</f>
        <v>NO</v>
      </c>
      <c r="O10" s="4" t="n">
        <f aca="false">IF(N10="YES", K10, 0)</f>
        <v>0</v>
      </c>
      <c r="P10" s="4" t="n">
        <f aca="false">P9+O10</f>
        <v>400</v>
      </c>
      <c r="Q10" s="5" t="str">
        <f aca="false">IF(O10=0, "N/A", IF(O10&gt;0,TRUE()))</f>
        <v>N/A</v>
      </c>
      <c r="R10" s="3" t="n">
        <f aca="false">AND(TIMEVALUE(B10)&gt;=TIME(8,0,0), TIMEVALUE(B10)&lt;=TIME(16,30,0))</f>
        <v>1</v>
      </c>
      <c r="S10" s="5" t="n">
        <f aca="false">IF(AND(Q10=1, R10=1), O10, 0)</f>
        <v>0</v>
      </c>
      <c r="T10" s="4" t="n">
        <f aca="false">T9+S10</f>
        <v>400</v>
      </c>
    </row>
    <row r="11" customFormat="false" ht="12.8" hidden="false" customHeight="false" outlineLevel="0" collapsed="false">
      <c r="A11" s="1" t="n">
        <v>46030</v>
      </c>
      <c r="B11" s="2" t="s">
        <v>38</v>
      </c>
      <c r="C11" s="1" t="n">
        <v>46030</v>
      </c>
      <c r="D11" s="2" t="s">
        <v>39</v>
      </c>
      <c r="E11" s="0" t="s">
        <v>10</v>
      </c>
      <c r="F11" s="0" t="s">
        <v>34</v>
      </c>
      <c r="G11" s="0" t="n">
        <v>25219</v>
      </c>
      <c r="H11" s="0" t="n">
        <v>25222</v>
      </c>
      <c r="I11" s="0" t="n">
        <v>3</v>
      </c>
      <c r="J11" s="0" t="n">
        <f aca="false"> HLOOKUP(E11, $E$2:$I$3, 2, 0)</f>
        <v>0.37</v>
      </c>
      <c r="K11" s="0" t="n">
        <v>1.2</v>
      </c>
      <c r="L11" s="3" t="n">
        <f aca="false">IF($K11&gt;0,TRUE())</f>
        <v>1</v>
      </c>
      <c r="M11" s="4" t="n">
        <f aca="false">M10+K11</f>
        <v>418.24</v>
      </c>
      <c r="N11" s="4" t="str">
        <f aca="false">VLOOKUP(C11, Sheet2!$A$2:$E$166,  5)</f>
        <v>YES</v>
      </c>
      <c r="O11" s="4" t="n">
        <f aca="false">IF(N11="YES", K11, 0)</f>
        <v>1.2</v>
      </c>
      <c r="P11" s="4" t="n">
        <f aca="false">P10+O11</f>
        <v>401.2</v>
      </c>
      <c r="Q11" s="3" t="b">
        <f aca="false">IF(O11=0, "N/A", IF(O11&gt;0,TRUE()))</f>
        <v>1</v>
      </c>
      <c r="R11" s="3" t="n">
        <f aca="false">AND(TIMEVALUE(B11)&gt;=TIME(8,0,0), TIMEVALUE(B11)&lt;=TIME(16,30,0))</f>
        <v>0</v>
      </c>
      <c r="S11" s="5" t="n">
        <f aca="false">IF(AND(Q11=1, R11=1), O11, 0)</f>
        <v>0</v>
      </c>
      <c r="T11" s="4" t="n">
        <f aca="false">T10+S11</f>
        <v>400</v>
      </c>
    </row>
    <row r="12" customFormat="false" ht="12.8" hidden="false" customHeight="false" outlineLevel="0" collapsed="false">
      <c r="A12" s="1" t="n">
        <v>46030</v>
      </c>
      <c r="B12" s="2" t="s">
        <v>40</v>
      </c>
      <c r="C12" s="1" t="n">
        <v>46030</v>
      </c>
      <c r="D12" s="2" t="s">
        <v>41</v>
      </c>
      <c r="E12" s="0" t="s">
        <v>10</v>
      </c>
      <c r="F12" s="0" t="s">
        <v>34</v>
      </c>
      <c r="G12" s="0" t="n">
        <v>25196</v>
      </c>
      <c r="H12" s="0" t="n">
        <v>25200</v>
      </c>
      <c r="I12" s="0" t="n">
        <v>4</v>
      </c>
      <c r="J12" s="0" t="n">
        <f aca="false"> HLOOKUP(E12, $E$2:$I$3, 2, 0)</f>
        <v>0.37</v>
      </c>
      <c r="K12" s="0" t="n">
        <v>1.6</v>
      </c>
      <c r="L12" s="3" t="n">
        <f aca="false">IF($K12&gt;0,TRUE())</f>
        <v>1</v>
      </c>
      <c r="M12" s="4" t="n">
        <f aca="false">M11+K12</f>
        <v>419.84</v>
      </c>
      <c r="N12" s="4" t="str">
        <f aca="false">VLOOKUP(C12, Sheet2!$A$2:$E$166,  5)</f>
        <v>YES</v>
      </c>
      <c r="O12" s="4" t="n">
        <f aca="false">IF(N12="YES", K12, 0)</f>
        <v>1.6</v>
      </c>
      <c r="P12" s="4" t="n">
        <f aca="false">P11+O12</f>
        <v>402.8</v>
      </c>
      <c r="Q12" s="3" t="b">
        <f aca="false">IF(O12=0, "N/A", IF(O12&gt;0,TRUE()))</f>
        <v>1</v>
      </c>
      <c r="R12" s="3" t="n">
        <f aca="false">AND(TIMEVALUE(B12)&gt;=TIME(8,0,0), TIMEVALUE(B12)&lt;=TIME(16,30,0))</f>
        <v>0</v>
      </c>
      <c r="S12" s="5" t="n">
        <f aca="false">IF(AND(Q12=1, R12=1), O12, 0)</f>
        <v>0</v>
      </c>
      <c r="T12" s="4" t="n">
        <f aca="false">T11+S12</f>
        <v>400</v>
      </c>
    </row>
    <row r="13" customFormat="false" ht="12.8" hidden="false" customHeight="false" outlineLevel="0" collapsed="false">
      <c r="A13" s="1" t="n">
        <v>46034</v>
      </c>
      <c r="B13" s="2" t="s">
        <v>42</v>
      </c>
      <c r="C13" s="1" t="n">
        <v>46034</v>
      </c>
      <c r="D13" s="2" t="s">
        <v>43</v>
      </c>
      <c r="E13" s="0" t="s">
        <v>4</v>
      </c>
      <c r="F13" s="0" t="s">
        <v>34</v>
      </c>
      <c r="G13" s="0" t="n">
        <v>8350</v>
      </c>
      <c r="H13" s="0" t="n">
        <v>8361.5</v>
      </c>
      <c r="I13" s="0" t="n">
        <v>11.5</v>
      </c>
      <c r="J13" s="0" t="n">
        <f aca="false"> HLOOKUP(E13, $E$2:$I$3, 2, 0)</f>
        <v>1</v>
      </c>
      <c r="K13" s="0" t="n">
        <v>11.5</v>
      </c>
      <c r="L13" s="3" t="n">
        <f aca="false">IF($K13&gt;0,TRUE())</f>
        <v>1</v>
      </c>
      <c r="M13" s="4" t="n">
        <f aca="false">M12+K13</f>
        <v>431.34</v>
      </c>
      <c r="N13" s="4" t="str">
        <f aca="false">VLOOKUP(C13, Sheet2!$A$2:$E$166,  5)</f>
        <v>YES</v>
      </c>
      <c r="O13" s="4" t="n">
        <f aca="false">IF(N13="YES", K13, 0)</f>
        <v>11.5</v>
      </c>
      <c r="P13" s="4" t="n">
        <f aca="false">P12+O13</f>
        <v>414.3</v>
      </c>
      <c r="Q13" s="3" t="b">
        <f aca="false">IF(O13=0, "N/A", IF(O13&gt;0,TRUE()))</f>
        <v>1</v>
      </c>
      <c r="R13" s="3" t="n">
        <f aca="false">AND(TIMEVALUE(B13)&gt;=TIME(8,0,0), TIMEVALUE(B13)&lt;=TIME(16,30,0))</f>
        <v>1</v>
      </c>
      <c r="S13" s="5" t="n">
        <f aca="false">IF(AND(Q13=1, R13=1), O13, 0)</f>
        <v>11.5</v>
      </c>
      <c r="T13" s="4" t="n">
        <f aca="false">T12+S13</f>
        <v>411.5</v>
      </c>
    </row>
    <row r="14" customFormat="false" ht="12.8" hidden="false" customHeight="false" outlineLevel="0" collapsed="false">
      <c r="A14" s="1" t="n">
        <v>46035</v>
      </c>
      <c r="B14" s="2" t="s">
        <v>44</v>
      </c>
      <c r="C14" s="1" t="n">
        <v>46035</v>
      </c>
      <c r="D14" s="2" t="s">
        <v>45</v>
      </c>
      <c r="E14" s="0" t="s">
        <v>4</v>
      </c>
      <c r="F14" s="0" t="s">
        <v>34</v>
      </c>
      <c r="G14" s="0" t="n">
        <v>8318</v>
      </c>
      <c r="H14" s="0" t="n">
        <v>8322.5</v>
      </c>
      <c r="I14" s="0" t="n">
        <v>4.5</v>
      </c>
      <c r="J14" s="0" t="n">
        <f aca="false"> HLOOKUP(E14, $E$2:$I$3, 2, 0)</f>
        <v>1</v>
      </c>
      <c r="K14" s="0" t="n">
        <v>4.95</v>
      </c>
      <c r="L14" s="3" t="n">
        <f aca="false">IF($K14&gt;0,TRUE())</f>
        <v>1</v>
      </c>
      <c r="M14" s="4" t="n">
        <f aca="false">M13+K14</f>
        <v>436.29</v>
      </c>
      <c r="N14" s="4" t="str">
        <f aca="false">VLOOKUP(C14, Sheet2!$A$2:$E$166,  5)</f>
        <v>YES</v>
      </c>
      <c r="O14" s="4" t="n">
        <f aca="false">IF(N14="YES", K14, 0)</f>
        <v>4.95</v>
      </c>
      <c r="P14" s="4" t="n">
        <f aca="false">P13+O14</f>
        <v>419.25</v>
      </c>
      <c r="Q14" s="3" t="b">
        <f aca="false">IF(O14=0, "N/A", IF(O14&gt;0,TRUE()))</f>
        <v>1</v>
      </c>
      <c r="R14" s="3" t="n">
        <f aca="false">AND(TIMEVALUE(B14)&gt;=TIME(8,0,0), TIMEVALUE(B14)&lt;=TIME(16,30,0))</f>
        <v>0</v>
      </c>
      <c r="S14" s="5" t="n">
        <f aca="false">IF(AND(Q14=1, R14=1), O14, 0)</f>
        <v>0</v>
      </c>
      <c r="T14" s="4" t="n">
        <f aca="false">T13+S14</f>
        <v>411.5</v>
      </c>
    </row>
    <row r="15" customFormat="false" ht="12.8" hidden="false" customHeight="false" outlineLevel="0" collapsed="false">
      <c r="A15" s="1" t="n">
        <v>46035</v>
      </c>
      <c r="B15" s="2" t="s">
        <v>46</v>
      </c>
      <c r="C15" s="1" t="n">
        <v>46035</v>
      </c>
      <c r="D15" s="2" t="s">
        <v>47</v>
      </c>
      <c r="E15" s="0" t="s">
        <v>10</v>
      </c>
      <c r="F15" s="0" t="s">
        <v>34</v>
      </c>
      <c r="G15" s="0" t="n">
        <v>25547</v>
      </c>
      <c r="H15" s="0" t="n">
        <v>25568</v>
      </c>
      <c r="I15" s="0" t="n">
        <v>21</v>
      </c>
      <c r="J15" s="0" t="n">
        <f aca="false"> HLOOKUP(E15, $E$2:$I$3, 2, 0)</f>
        <v>0.37</v>
      </c>
      <c r="K15" s="0" t="n">
        <v>7.77</v>
      </c>
      <c r="L15" s="3" t="n">
        <f aca="false">IF($K15&gt;0,TRUE())</f>
        <v>1</v>
      </c>
      <c r="M15" s="4" t="n">
        <f aca="false">M14+K15</f>
        <v>444.06</v>
      </c>
      <c r="N15" s="4" t="str">
        <f aca="false">VLOOKUP(C15, Sheet2!$A$2:$E$166,  5)</f>
        <v>YES</v>
      </c>
      <c r="O15" s="4" t="n">
        <f aca="false">IF(N15="YES", K15, 0)</f>
        <v>7.77</v>
      </c>
      <c r="P15" s="4" t="n">
        <f aca="false">P14+O15</f>
        <v>427.02</v>
      </c>
      <c r="Q15" s="3" t="b">
        <f aca="false">IF(O15=0, "N/A", IF(O15&gt;0,TRUE()))</f>
        <v>1</v>
      </c>
      <c r="R15" s="3" t="n">
        <f aca="false">AND(TIMEVALUE(B15)&gt;=TIME(8,0,0), TIMEVALUE(B15)&lt;=TIME(16,30,0))</f>
        <v>1</v>
      </c>
      <c r="S15" s="5" t="n">
        <f aca="false">IF(AND(Q15=1, R15=1), O15, 0)</f>
        <v>7.77</v>
      </c>
      <c r="T15" s="4" t="n">
        <f aca="false">T14+S15</f>
        <v>419.27</v>
      </c>
    </row>
    <row r="16" customFormat="false" ht="12.8" hidden="false" customHeight="false" outlineLevel="0" collapsed="false">
      <c r="A16" s="1" t="n">
        <v>46036</v>
      </c>
      <c r="B16" s="2" t="s">
        <v>48</v>
      </c>
      <c r="C16" s="1" t="n">
        <v>46036</v>
      </c>
      <c r="D16" s="2" t="s">
        <v>35</v>
      </c>
      <c r="E16" s="0" t="s">
        <v>4</v>
      </c>
      <c r="F16" s="0" t="s">
        <v>34</v>
      </c>
      <c r="G16" s="0" t="n">
        <v>8357.5</v>
      </c>
      <c r="H16" s="0" t="n">
        <v>8333</v>
      </c>
      <c r="I16" s="0" t="n">
        <v>-24.5</v>
      </c>
      <c r="J16" s="0" t="n">
        <f aca="false"> HLOOKUP(E16, $E$2:$I$3, 2, 0)</f>
        <v>1</v>
      </c>
      <c r="K16" s="0" t="n">
        <v>-26.95</v>
      </c>
      <c r="L16" s="3" t="n">
        <f aca="false">IF($K16&gt;0,TRUE())</f>
        <v>0</v>
      </c>
      <c r="M16" s="4" t="n">
        <f aca="false">M15+K16</f>
        <v>417.11</v>
      </c>
      <c r="N16" s="4" t="str">
        <f aca="false">VLOOKUP(C16, Sheet2!$A$2:$E$166,  5)</f>
        <v>YES</v>
      </c>
      <c r="O16" s="4" t="n">
        <f aca="false">IF(N16="YES", K16, 0)</f>
        <v>-26.95</v>
      </c>
      <c r="P16" s="4" t="n">
        <f aca="false">P15+O16</f>
        <v>400.07</v>
      </c>
      <c r="Q16" s="3" t="b">
        <f aca="false">IF(O16=0, "N/A", IF(O16&gt;0,TRUE()))</f>
        <v>0</v>
      </c>
      <c r="R16" s="3" t="n">
        <f aca="false">AND(TIMEVALUE(B16)&gt;=TIME(8,0,0), TIMEVALUE(B16)&lt;=TIME(16,30,0))</f>
        <v>0</v>
      </c>
      <c r="S16" s="5" t="n">
        <f aca="false">IF(AND(Q16=1, R16=1), O16, 0)</f>
        <v>0</v>
      </c>
      <c r="T16" s="4" t="n">
        <f aca="false">T15+S16</f>
        <v>419.27</v>
      </c>
    </row>
    <row r="17" customFormat="false" ht="12.8" hidden="false" customHeight="false" outlineLevel="0" collapsed="false">
      <c r="A17" s="1" t="n">
        <v>46036</v>
      </c>
      <c r="B17" s="2" t="s">
        <v>49</v>
      </c>
      <c r="C17" s="1" t="n">
        <v>46036</v>
      </c>
      <c r="D17" s="2" t="s">
        <v>50</v>
      </c>
      <c r="E17" s="0" t="s">
        <v>4</v>
      </c>
      <c r="F17" s="0" t="s">
        <v>34</v>
      </c>
      <c r="G17" s="0" t="n">
        <v>8332.5</v>
      </c>
      <c r="H17" s="0" t="n">
        <v>8331.5</v>
      </c>
      <c r="I17" s="0" t="n">
        <v>-1</v>
      </c>
      <c r="J17" s="0" t="n">
        <f aca="false"> HLOOKUP(E17, $E$2:$I$3, 2, 0)</f>
        <v>1</v>
      </c>
      <c r="K17" s="0" t="n">
        <v>-1</v>
      </c>
      <c r="L17" s="3" t="n">
        <f aca="false">IF($K17&gt;0,TRUE())</f>
        <v>0</v>
      </c>
      <c r="M17" s="4" t="n">
        <f aca="false">M16+K17</f>
        <v>416.11</v>
      </c>
      <c r="N17" s="4" t="str">
        <f aca="false">VLOOKUP(C17, Sheet2!$A$2:$E$166,  5)</f>
        <v>YES</v>
      </c>
      <c r="O17" s="4" t="n">
        <f aca="false">IF(N17="YES", K17, 0)</f>
        <v>-1</v>
      </c>
      <c r="P17" s="4" t="n">
        <f aca="false">P16+O17</f>
        <v>399.07</v>
      </c>
      <c r="Q17" s="3" t="b">
        <f aca="false">IF(O17=0, "N/A", IF(O17&gt;0,TRUE()))</f>
        <v>0</v>
      </c>
      <c r="R17" s="3" t="n">
        <f aca="false">AND(TIMEVALUE(B17)&gt;=TIME(8,0,0), TIMEVALUE(B17)&lt;=TIME(16,30,0))</f>
        <v>1</v>
      </c>
      <c r="S17" s="5" t="n">
        <f aca="false">IF(AND(Q17=1, R17=1), O17, 0)</f>
        <v>0</v>
      </c>
      <c r="T17" s="4" t="n">
        <f aca="false">T16+S17</f>
        <v>419.27</v>
      </c>
    </row>
    <row r="18" customFormat="false" ht="12.8" hidden="false" customHeight="false" outlineLevel="0" collapsed="false">
      <c r="A18" s="1" t="n">
        <v>46037</v>
      </c>
      <c r="B18" s="2" t="s">
        <v>51</v>
      </c>
      <c r="C18" s="1" t="n">
        <v>46037</v>
      </c>
      <c r="D18" s="2" t="s">
        <v>52</v>
      </c>
      <c r="E18" s="0" t="s">
        <v>9</v>
      </c>
      <c r="F18" s="0" t="s">
        <v>34</v>
      </c>
      <c r="G18" s="0" t="n">
        <v>10229.5</v>
      </c>
      <c r="H18" s="0" t="n">
        <v>10236</v>
      </c>
      <c r="I18" s="0" t="n">
        <v>6.5</v>
      </c>
      <c r="J18" s="0" t="n">
        <f aca="false"> HLOOKUP(E18, $E$2:$I$3, 2, 0)</f>
        <v>0.8</v>
      </c>
      <c r="K18" s="0" t="n">
        <v>5.2</v>
      </c>
      <c r="L18" s="3" t="n">
        <f aca="false">IF($K18&gt;0,TRUE())</f>
        <v>1</v>
      </c>
      <c r="M18" s="4" t="n">
        <f aca="false">M17+K18</f>
        <v>421.31</v>
      </c>
      <c r="N18" s="4" t="str">
        <f aca="false">VLOOKUP(C18, Sheet2!$A$2:$E$166,  5)</f>
        <v>YES</v>
      </c>
      <c r="O18" s="4" t="n">
        <f aca="false">IF(N18="YES", K18, 0)</f>
        <v>5.2</v>
      </c>
      <c r="P18" s="4" t="n">
        <f aca="false">P17+O18</f>
        <v>404.27</v>
      </c>
      <c r="Q18" s="3" t="b">
        <f aca="false">IF(O18=0, "N/A", IF(O18&gt;0,TRUE()))</f>
        <v>1</v>
      </c>
      <c r="R18" s="3" t="n">
        <f aca="false">AND(TIMEVALUE(B18)&gt;=TIME(8,0,0), TIMEVALUE(B18)&lt;=TIME(16,30,0))</f>
        <v>1</v>
      </c>
      <c r="S18" s="5" t="n">
        <f aca="false">IF(AND(Q18=1, R18=1), O18, 0)</f>
        <v>5.2</v>
      </c>
      <c r="T18" s="4" t="n">
        <f aca="false">T17+S18</f>
        <v>424.47</v>
      </c>
    </row>
    <row r="19" customFormat="false" ht="12.8" hidden="false" customHeight="false" outlineLevel="0" collapsed="false">
      <c r="A19" s="1" t="n">
        <v>46038</v>
      </c>
      <c r="B19" s="2" t="s">
        <v>53</v>
      </c>
      <c r="C19" s="1" t="n">
        <v>46038</v>
      </c>
      <c r="D19" s="2" t="s">
        <v>40</v>
      </c>
      <c r="E19" s="0" t="s">
        <v>10</v>
      </c>
      <c r="F19" s="0" t="s">
        <v>34</v>
      </c>
      <c r="G19" s="0" t="n">
        <v>25408</v>
      </c>
      <c r="H19" s="0" t="n">
        <v>25408</v>
      </c>
      <c r="I19" s="0" t="n">
        <v>0</v>
      </c>
      <c r="J19" s="0" t="n">
        <f aca="false"> HLOOKUP(E19, $E$2:$I$3, 2, 0)</f>
        <v>0.37</v>
      </c>
      <c r="K19" s="0" t="n">
        <v>0</v>
      </c>
      <c r="L19" s="3" t="n">
        <f aca="false">IF($K19&gt;0,TRUE())</f>
        <v>0</v>
      </c>
      <c r="M19" s="4" t="n">
        <f aca="false">M18+K19</f>
        <v>421.31</v>
      </c>
      <c r="N19" s="4" t="str">
        <f aca="false">VLOOKUP(C19, Sheet2!$A$2:$E$166,  5)</f>
        <v>YES</v>
      </c>
      <c r="O19" s="4" t="n">
        <f aca="false">IF(N19="YES", K19, 0)</f>
        <v>0</v>
      </c>
      <c r="P19" s="4" t="n">
        <f aca="false">P18+O19</f>
        <v>404.27</v>
      </c>
      <c r="Q19" s="5" t="str">
        <f aca="false">IF(O19=0, "N/A", IF(O19&gt;0,TRUE()))</f>
        <v>N/A</v>
      </c>
      <c r="R19" s="3" t="n">
        <f aca="false">AND(TIMEVALUE(B19)&gt;=TIME(8,0,0), TIMEVALUE(B19)&lt;=TIME(16,30,0))</f>
        <v>0</v>
      </c>
      <c r="S19" s="5" t="n">
        <f aca="false">IF(AND(Q19=1, R19=1), O19, 0)</f>
        <v>0</v>
      </c>
      <c r="T19" s="4" t="n">
        <f aca="false">T18+S19</f>
        <v>424.47</v>
      </c>
    </row>
    <row r="20" customFormat="false" ht="12.8" hidden="false" customHeight="false" outlineLevel="0" collapsed="false">
      <c r="A20" s="1" t="n">
        <v>46038</v>
      </c>
      <c r="B20" s="2" t="s">
        <v>54</v>
      </c>
      <c r="C20" s="1" t="n">
        <v>46038</v>
      </c>
      <c r="D20" s="2" t="s">
        <v>55</v>
      </c>
      <c r="E20" s="0" t="s">
        <v>10</v>
      </c>
      <c r="F20" s="0" t="s">
        <v>34</v>
      </c>
      <c r="G20" s="0" t="n">
        <v>25377</v>
      </c>
      <c r="H20" s="0" t="n">
        <v>25369</v>
      </c>
      <c r="I20" s="0" t="n">
        <v>-8</v>
      </c>
      <c r="J20" s="0" t="n">
        <f aca="false"> HLOOKUP(E20, $E$2:$I$3, 2, 0)</f>
        <v>0.37</v>
      </c>
      <c r="K20" s="0" t="n">
        <v>-2.96</v>
      </c>
      <c r="L20" s="3" t="n">
        <f aca="false">IF($K20&gt;0,TRUE())</f>
        <v>0</v>
      </c>
      <c r="M20" s="4" t="n">
        <f aca="false">M19+K20</f>
        <v>418.35</v>
      </c>
      <c r="N20" s="4" t="str">
        <f aca="false">VLOOKUP(C20, Sheet2!$A$2:$E$166,  5)</f>
        <v>YES</v>
      </c>
      <c r="O20" s="4" t="n">
        <f aca="false">IF(N20="YES", K20, 0)</f>
        <v>-2.96</v>
      </c>
      <c r="P20" s="4" t="n">
        <f aca="false">P19+O20</f>
        <v>401.31</v>
      </c>
      <c r="Q20" s="3" t="b">
        <f aca="false">IF(O20=0, "N/A", IF(O20&gt;0,TRUE()))</f>
        <v>0</v>
      </c>
      <c r="R20" s="3" t="n">
        <f aca="false">AND(TIMEVALUE(B20)&gt;=TIME(8,0,0), TIMEVALUE(B20)&lt;=TIME(16,30,0))</f>
        <v>1</v>
      </c>
      <c r="S20" s="5" t="n">
        <f aca="false">IF(AND(Q20=1, R20=1), O20, 0)</f>
        <v>0</v>
      </c>
      <c r="T20" s="4" t="n">
        <f aca="false">T19+S20</f>
        <v>424.47</v>
      </c>
    </row>
    <row r="21" customFormat="false" ht="12.8" hidden="false" customHeight="false" outlineLevel="0" collapsed="false">
      <c r="A21" s="1" t="n">
        <v>46043</v>
      </c>
      <c r="B21" s="2" t="s">
        <v>56</v>
      </c>
      <c r="C21" s="1" t="n">
        <v>46043</v>
      </c>
      <c r="D21" s="2" t="s">
        <v>57</v>
      </c>
      <c r="E21" s="0" t="s">
        <v>9</v>
      </c>
      <c r="F21" s="0" t="s">
        <v>34</v>
      </c>
      <c r="G21" s="0" t="n">
        <v>10105.5</v>
      </c>
      <c r="H21" s="0" t="n">
        <v>10106</v>
      </c>
      <c r="I21" s="0" t="n">
        <v>0.5</v>
      </c>
      <c r="J21" s="0" t="n">
        <f aca="false"> HLOOKUP(E21, $E$2:$I$3, 2, 0)</f>
        <v>0.8</v>
      </c>
      <c r="K21" s="0" t="n">
        <v>0.44</v>
      </c>
      <c r="L21" s="3" t="n">
        <f aca="false">IF($K21&gt;0,TRUE())</f>
        <v>1</v>
      </c>
      <c r="M21" s="4" t="n">
        <f aca="false">M20+K21</f>
        <v>418.79</v>
      </c>
      <c r="N21" s="4" t="str">
        <f aca="false">VLOOKUP(C21, Sheet2!$A$2:$E$166,  5)</f>
        <v>NO</v>
      </c>
      <c r="O21" s="4" t="n">
        <f aca="false">IF(N21="YES", K21, 0)</f>
        <v>0</v>
      </c>
      <c r="P21" s="4" t="n">
        <f aca="false">P20+O21</f>
        <v>401.31</v>
      </c>
      <c r="Q21" s="5" t="str">
        <f aca="false">IF(O21=0, "N/A", IF(O21&gt;0,TRUE()))</f>
        <v>N/A</v>
      </c>
      <c r="R21" s="3" t="n">
        <f aca="false">AND(TIMEVALUE(B21)&gt;=TIME(8,0,0), TIMEVALUE(B21)&lt;=TIME(16,30,0))</f>
        <v>0</v>
      </c>
      <c r="S21" s="5" t="n">
        <f aca="false">IF(AND(Q21=1, R21=1), O21, 0)</f>
        <v>0</v>
      </c>
      <c r="T21" s="4" t="n">
        <f aca="false">T20+S21</f>
        <v>424.47</v>
      </c>
    </row>
    <row r="22" customFormat="false" ht="12.8" hidden="false" customHeight="false" outlineLevel="0" collapsed="false">
      <c r="A22" s="1" t="n">
        <v>46044</v>
      </c>
      <c r="B22" s="2" t="s">
        <v>58</v>
      </c>
      <c r="C22" s="1" t="n">
        <v>46044</v>
      </c>
      <c r="D22" s="2" t="s">
        <v>59</v>
      </c>
      <c r="E22" s="0" t="s">
        <v>9</v>
      </c>
      <c r="F22" s="0" t="s">
        <v>34</v>
      </c>
      <c r="G22" s="0" t="n">
        <v>10161</v>
      </c>
      <c r="H22" s="0" t="n">
        <v>10144.5</v>
      </c>
      <c r="I22" s="0" t="n">
        <v>-16.5</v>
      </c>
      <c r="J22" s="0" t="n">
        <f aca="false"> HLOOKUP(E22, $E$2:$I$3, 2, 0)</f>
        <v>0.8</v>
      </c>
      <c r="K22" s="0" t="n">
        <v>-13.2</v>
      </c>
      <c r="L22" s="3" t="n">
        <f aca="false">IF($K22&gt;0,TRUE())</f>
        <v>0</v>
      </c>
      <c r="M22" s="4" t="n">
        <f aca="false">M21+K22</f>
        <v>405.59</v>
      </c>
      <c r="N22" s="4" t="str">
        <f aca="false">VLOOKUP(C22, Sheet2!$A$2:$E$166,  5)</f>
        <v>NO</v>
      </c>
      <c r="O22" s="4" t="n">
        <f aca="false">IF(N22="YES", K22, 0)</f>
        <v>0</v>
      </c>
      <c r="P22" s="4" t="n">
        <f aca="false">P21+O22</f>
        <v>401.31</v>
      </c>
      <c r="Q22" s="5" t="str">
        <f aca="false">IF(O22=0, "N/A", IF(O22&gt;0,TRUE()))</f>
        <v>N/A</v>
      </c>
      <c r="R22" s="3" t="n">
        <f aca="false">AND(TIMEVALUE(B22)&gt;=TIME(8,0,0), TIMEVALUE(B22)&lt;=TIME(16,30,0))</f>
        <v>1</v>
      </c>
      <c r="S22" s="5" t="n">
        <f aca="false">IF(AND(Q22=1, R22=1), O22, 0)</f>
        <v>0</v>
      </c>
      <c r="T22" s="4" t="n">
        <f aca="false">T21+S22</f>
        <v>424.47</v>
      </c>
    </row>
    <row r="23" customFormat="false" ht="12.8" hidden="false" customHeight="false" outlineLevel="0" collapsed="false">
      <c r="A23" s="1" t="n">
        <v>46045</v>
      </c>
      <c r="B23" s="2" t="s">
        <v>60</v>
      </c>
      <c r="C23" s="1" t="n">
        <v>46045</v>
      </c>
      <c r="D23" s="2" t="s">
        <v>61</v>
      </c>
      <c r="E23" s="0" t="s">
        <v>10</v>
      </c>
      <c r="F23" s="0" t="s">
        <v>62</v>
      </c>
      <c r="G23" s="0" t="n">
        <v>24988</v>
      </c>
      <c r="H23" s="0" t="n">
        <v>24951</v>
      </c>
      <c r="I23" s="0" t="n">
        <v>37</v>
      </c>
      <c r="J23" s="0" t="n">
        <f aca="false"> HLOOKUP(E23, $E$2:$I$3, 2, 0)</f>
        <v>0.37</v>
      </c>
      <c r="K23" s="0" t="n">
        <v>14.8</v>
      </c>
      <c r="L23" s="3" t="n">
        <f aca="false">IF($K23&gt;0,TRUE())</f>
        <v>1</v>
      </c>
      <c r="M23" s="4" t="n">
        <f aca="false">M22+K23</f>
        <v>420.39</v>
      </c>
      <c r="N23" s="4" t="str">
        <f aca="false">VLOOKUP(C23, Sheet2!$A$2:$E$166,  5)</f>
        <v>NO</v>
      </c>
      <c r="O23" s="4" t="n">
        <f aca="false">IF(N23="YES", K23, 0)</f>
        <v>0</v>
      </c>
      <c r="P23" s="4" t="n">
        <f aca="false">P22+O23</f>
        <v>401.31</v>
      </c>
      <c r="Q23" s="5" t="str">
        <f aca="false">IF(O23=0, "N/A", IF(O23&gt;0,TRUE()))</f>
        <v>N/A</v>
      </c>
      <c r="R23" s="3" t="n">
        <f aca="false">AND(TIMEVALUE(B23)&gt;=TIME(8,0,0), TIMEVALUE(B23)&lt;=TIME(16,30,0))</f>
        <v>0</v>
      </c>
      <c r="S23" s="5" t="n">
        <f aca="false">IF(AND(Q23=1, R23=1), O23, 0)</f>
        <v>0</v>
      </c>
      <c r="T23" s="4" t="n">
        <f aca="false">T22+S23</f>
        <v>424.47</v>
      </c>
    </row>
    <row r="24" customFormat="false" ht="12.8" hidden="false" customHeight="false" outlineLevel="0" collapsed="false">
      <c r="A24" s="1" t="n">
        <v>46045</v>
      </c>
      <c r="B24" s="2" t="s">
        <v>63</v>
      </c>
      <c r="C24" s="1" t="n">
        <v>46045</v>
      </c>
      <c r="D24" s="2" t="s">
        <v>64</v>
      </c>
      <c r="E24" s="0" t="s">
        <v>9</v>
      </c>
      <c r="F24" s="0" t="s">
        <v>34</v>
      </c>
      <c r="G24" s="0" t="n">
        <v>10123</v>
      </c>
      <c r="H24" s="0" t="n">
        <v>10141.5</v>
      </c>
      <c r="I24" s="0" t="n">
        <v>18.5</v>
      </c>
      <c r="J24" s="0" t="n">
        <f aca="false"> HLOOKUP(E24, $E$2:$I$3, 2, 0)</f>
        <v>0.8</v>
      </c>
      <c r="K24" s="0" t="n">
        <v>16.28</v>
      </c>
      <c r="L24" s="3" t="n">
        <f aca="false">IF($K24&gt;0,TRUE())</f>
        <v>1</v>
      </c>
      <c r="M24" s="4" t="n">
        <f aca="false">M23+K24</f>
        <v>436.67</v>
      </c>
      <c r="N24" s="4" t="str">
        <f aca="false">VLOOKUP(C24, Sheet2!$A$2:$E$166,  5)</f>
        <v>NO</v>
      </c>
      <c r="O24" s="4" t="n">
        <f aca="false">IF(N24="YES", K24, 0)</f>
        <v>0</v>
      </c>
      <c r="P24" s="4" t="n">
        <f aca="false">P23+O24</f>
        <v>401.31</v>
      </c>
      <c r="Q24" s="5" t="str">
        <f aca="false">IF(O24=0, "N/A", IF(O24&gt;0,TRUE()))</f>
        <v>N/A</v>
      </c>
      <c r="R24" s="3" t="n">
        <f aca="false">AND(TIMEVALUE(B24)&gt;=TIME(8,0,0), TIMEVALUE(B24)&lt;=TIME(16,30,0))</f>
        <v>1</v>
      </c>
      <c r="S24" s="5" t="n">
        <f aca="false">IF(AND(Q24=1, R24=1), O24, 0)</f>
        <v>0</v>
      </c>
      <c r="T24" s="4" t="n">
        <f aca="false">T23+S24</f>
        <v>424.47</v>
      </c>
    </row>
    <row r="25" customFormat="false" ht="12.8" hidden="false" customHeight="false" outlineLevel="0" collapsed="false">
      <c r="A25" s="1" t="n">
        <v>46049</v>
      </c>
      <c r="B25" s="2" t="s">
        <v>65</v>
      </c>
      <c r="C25" s="1" t="n">
        <v>46049</v>
      </c>
      <c r="D25" s="2" t="s">
        <v>66</v>
      </c>
      <c r="E25" s="0" t="s">
        <v>4</v>
      </c>
      <c r="F25" s="0" t="s">
        <v>62</v>
      </c>
      <c r="G25" s="0" t="n">
        <v>8151.5</v>
      </c>
      <c r="H25" s="0" t="n">
        <v>8147.5</v>
      </c>
      <c r="I25" s="0" t="n">
        <v>4</v>
      </c>
      <c r="J25" s="0" t="n">
        <f aca="false"> HLOOKUP(E25, $E$2:$I$3, 2, 0)</f>
        <v>1</v>
      </c>
      <c r="K25" s="0" t="n">
        <v>4.4</v>
      </c>
      <c r="L25" s="3" t="n">
        <f aca="false">IF($K25&gt;0,TRUE())</f>
        <v>1</v>
      </c>
      <c r="M25" s="4" t="n">
        <f aca="false">M24+K25</f>
        <v>441.07</v>
      </c>
      <c r="N25" s="4" t="str">
        <f aca="false">VLOOKUP(C25, Sheet2!$A$2:$E$166,  5)</f>
        <v>NO</v>
      </c>
      <c r="O25" s="4" t="n">
        <f aca="false">IF(N25="YES", K25, 0)</f>
        <v>0</v>
      </c>
      <c r="P25" s="4" t="n">
        <f aca="false">P24+O25</f>
        <v>401.31</v>
      </c>
      <c r="Q25" s="5" t="str">
        <f aca="false">IF(O25=0, "N/A", IF(O25&gt;0,TRUE()))</f>
        <v>N/A</v>
      </c>
      <c r="R25" s="3" t="n">
        <f aca="false">AND(TIMEVALUE(B25)&gt;=TIME(8,0,0), TIMEVALUE(B25)&lt;=TIME(16,30,0))</f>
        <v>0</v>
      </c>
      <c r="S25" s="5" t="n">
        <f aca="false">IF(AND(Q25=1, R25=1), O25, 0)</f>
        <v>0</v>
      </c>
      <c r="T25" s="4" t="n">
        <f aca="false">T24+S25</f>
        <v>424.47</v>
      </c>
    </row>
    <row r="26" customFormat="false" ht="12.8" hidden="false" customHeight="false" outlineLevel="0" collapsed="false">
      <c r="A26" s="1" t="n">
        <v>46050</v>
      </c>
      <c r="B26" s="2" t="s">
        <v>60</v>
      </c>
      <c r="C26" s="1" t="n">
        <v>46050</v>
      </c>
      <c r="D26" s="2" t="s">
        <v>67</v>
      </c>
      <c r="E26" s="0" t="s">
        <v>9</v>
      </c>
      <c r="F26" s="0" t="s">
        <v>34</v>
      </c>
      <c r="G26" s="0" t="n">
        <v>10144.5</v>
      </c>
      <c r="H26" s="0" t="n">
        <v>10151</v>
      </c>
      <c r="I26" s="0" t="n">
        <v>6.5</v>
      </c>
      <c r="J26" s="0" t="n">
        <f aca="false"> HLOOKUP(E26, $E$2:$I$3, 2, 0)</f>
        <v>0.8</v>
      </c>
      <c r="K26" s="0" t="n">
        <v>5.72</v>
      </c>
      <c r="L26" s="3" t="n">
        <f aca="false">IF($K26&gt;0,TRUE())</f>
        <v>1</v>
      </c>
      <c r="M26" s="4" t="n">
        <f aca="false">M25+K26</f>
        <v>446.79</v>
      </c>
      <c r="N26" s="4" t="str">
        <f aca="false">VLOOKUP(C26, Sheet2!$A$2:$E$166,  5)</f>
        <v>NO</v>
      </c>
      <c r="O26" s="4" t="n">
        <f aca="false">IF(N26="YES", K26, 0)</f>
        <v>0</v>
      </c>
      <c r="P26" s="4" t="n">
        <f aca="false">P25+O26</f>
        <v>401.31</v>
      </c>
      <c r="Q26" s="5" t="str">
        <f aca="false">IF(O26=0, "N/A", IF(O26&gt;0,TRUE()))</f>
        <v>N/A</v>
      </c>
      <c r="R26" s="3" t="n">
        <f aca="false">AND(TIMEVALUE(B26)&gt;=TIME(8,0,0), TIMEVALUE(B26)&lt;=TIME(16,30,0))</f>
        <v>0</v>
      </c>
      <c r="S26" s="5" t="n">
        <f aca="false">IF(AND(Q26=1, R26=1), O26, 0)</f>
        <v>0</v>
      </c>
      <c r="T26" s="4" t="n">
        <f aca="false">T25+S26</f>
        <v>424.47</v>
      </c>
    </row>
    <row r="27" customFormat="false" ht="12.8" hidden="false" customHeight="false" outlineLevel="0" collapsed="false">
      <c r="A27" s="1" t="n">
        <v>46051</v>
      </c>
      <c r="B27" s="2" t="s">
        <v>68</v>
      </c>
      <c r="C27" s="1" t="n">
        <v>46051</v>
      </c>
      <c r="D27" s="2" t="s">
        <v>69</v>
      </c>
      <c r="E27" s="0" t="s">
        <v>9</v>
      </c>
      <c r="F27" s="0" t="s">
        <v>34</v>
      </c>
      <c r="G27" s="0" t="n">
        <v>10165</v>
      </c>
      <c r="H27" s="0" t="n">
        <v>10170.5</v>
      </c>
      <c r="I27" s="0" t="n">
        <v>5.5</v>
      </c>
      <c r="J27" s="0" t="n">
        <f aca="false"> HLOOKUP(E27, $E$2:$I$3, 2, 0)</f>
        <v>0.8</v>
      </c>
      <c r="K27" s="0" t="n">
        <v>4.4</v>
      </c>
      <c r="L27" s="3" t="n">
        <f aca="false">IF($K27&gt;0,TRUE())</f>
        <v>1</v>
      </c>
      <c r="M27" s="4" t="n">
        <f aca="false">M26+K27</f>
        <v>451.19</v>
      </c>
      <c r="N27" s="4" t="str">
        <f aca="false">VLOOKUP(C27, Sheet2!$A$2:$E$166,  5)</f>
        <v>NO</v>
      </c>
      <c r="O27" s="4" t="n">
        <f aca="false">IF(N27="YES", K27, 0)</f>
        <v>0</v>
      </c>
      <c r="P27" s="4" t="n">
        <f aca="false">P26+O27</f>
        <v>401.31</v>
      </c>
      <c r="Q27" s="5" t="str">
        <f aca="false">IF(O27=0, "N/A", IF(O27&gt;0,TRUE()))</f>
        <v>N/A</v>
      </c>
      <c r="R27" s="3" t="n">
        <f aca="false">AND(TIMEVALUE(B27)&gt;=TIME(8,0,0), TIMEVALUE(B27)&lt;=TIME(16,30,0))</f>
        <v>1</v>
      </c>
      <c r="S27" s="5" t="n">
        <f aca="false">IF(AND(Q27=1, R27=1), O27, 0)</f>
        <v>0</v>
      </c>
      <c r="T27" s="4" t="n">
        <f aca="false">T26+S27</f>
        <v>424.47</v>
      </c>
    </row>
    <row r="28" customFormat="false" ht="12.8" hidden="false" customHeight="false" outlineLevel="0" collapsed="false">
      <c r="A28" s="1" t="n">
        <v>46052</v>
      </c>
      <c r="B28" s="2" t="s">
        <v>70</v>
      </c>
      <c r="C28" s="1" t="n">
        <v>46052</v>
      </c>
      <c r="D28" s="2" t="s">
        <v>71</v>
      </c>
      <c r="E28" s="0" t="s">
        <v>4</v>
      </c>
      <c r="F28" s="0" t="s">
        <v>62</v>
      </c>
      <c r="G28" s="0" t="n">
        <v>8134</v>
      </c>
      <c r="H28" s="0" t="n">
        <v>8133</v>
      </c>
      <c r="I28" s="0" t="n">
        <v>1</v>
      </c>
      <c r="J28" s="0" t="n">
        <f aca="false"> HLOOKUP(E28, $E$2:$I$3, 2, 0)</f>
        <v>1</v>
      </c>
      <c r="K28" s="0" t="n">
        <v>1.1</v>
      </c>
      <c r="L28" s="3" t="n">
        <f aca="false">IF($K28&gt;0,TRUE())</f>
        <v>1</v>
      </c>
      <c r="M28" s="4" t="n">
        <f aca="false">M27+K28</f>
        <v>452.29</v>
      </c>
      <c r="N28" s="4" t="str">
        <f aca="false">VLOOKUP(C28, Sheet2!$A$2:$E$166,  5)</f>
        <v>NO</v>
      </c>
      <c r="O28" s="4" t="n">
        <f aca="false">IF(N28="YES", K28, 0)</f>
        <v>0</v>
      </c>
      <c r="P28" s="4" t="n">
        <f aca="false">P27+O28</f>
        <v>401.31</v>
      </c>
      <c r="Q28" s="5" t="str">
        <f aca="false">IF(O28=0, "N/A", IF(O28&gt;0,TRUE()))</f>
        <v>N/A</v>
      </c>
      <c r="R28" s="3" t="n">
        <f aca="false">AND(TIMEVALUE(B28)&gt;=TIME(8,0,0), TIMEVALUE(B28)&lt;=TIME(16,30,0))</f>
        <v>0</v>
      </c>
      <c r="S28" s="5" t="n">
        <f aca="false">IF(AND(Q28=1, R28=1), O28, 0)</f>
        <v>0</v>
      </c>
      <c r="T28" s="4" t="n">
        <f aca="false">T27+S28</f>
        <v>424.47</v>
      </c>
    </row>
    <row r="29" customFormat="false" ht="12.8" hidden="false" customHeight="false" outlineLevel="0" collapsed="false">
      <c r="A29" s="1" t="n">
        <v>46055</v>
      </c>
      <c r="B29" s="2" t="s">
        <v>72</v>
      </c>
      <c r="C29" s="1" t="n">
        <v>46055</v>
      </c>
      <c r="D29" s="2" t="s">
        <v>59</v>
      </c>
      <c r="E29" s="0" t="s">
        <v>10</v>
      </c>
      <c r="F29" s="0" t="s">
        <v>62</v>
      </c>
      <c r="G29" s="0" t="n">
        <v>24917</v>
      </c>
      <c r="H29" s="0" t="n">
        <v>24963</v>
      </c>
      <c r="I29" s="0" t="n">
        <v>-46</v>
      </c>
      <c r="J29" s="0" t="n">
        <f aca="false"> HLOOKUP(E29, $E$2:$I$3, 2, 0)</f>
        <v>0.37</v>
      </c>
      <c r="K29" s="0" t="n">
        <v>-17.02</v>
      </c>
      <c r="L29" s="3" t="n">
        <f aca="false">IF($K29&gt;0,TRUE())</f>
        <v>0</v>
      </c>
      <c r="M29" s="4" t="n">
        <f aca="false">M28+K29</f>
        <v>435.27</v>
      </c>
      <c r="N29" s="4" t="str">
        <f aca="false">VLOOKUP(C29, Sheet2!$A$2:$E$166,  5)</f>
        <v>NO</v>
      </c>
      <c r="O29" s="4" t="n">
        <f aca="false">IF(N29="YES", K29, 0)</f>
        <v>0</v>
      </c>
      <c r="P29" s="4" t="n">
        <f aca="false">P28+O29</f>
        <v>401.31</v>
      </c>
      <c r="Q29" s="5" t="str">
        <f aca="false">IF(O29=0, "N/A", IF(O29&gt;0,TRUE()))</f>
        <v>N/A</v>
      </c>
      <c r="R29" s="3" t="n">
        <f aca="false">AND(TIMEVALUE(B29)&gt;=TIME(8,0,0), TIMEVALUE(B29)&lt;=TIME(16,30,0))</f>
        <v>1</v>
      </c>
      <c r="S29" s="5" t="n">
        <f aca="false">IF(AND(Q29=1, R29=1), O29, 0)</f>
        <v>0</v>
      </c>
      <c r="T29" s="4" t="n">
        <f aca="false">T28+S29</f>
        <v>424.47</v>
      </c>
    </row>
    <row r="30" customFormat="false" ht="12.8" hidden="false" customHeight="false" outlineLevel="0" collapsed="false">
      <c r="A30" s="1" t="n">
        <v>46056</v>
      </c>
      <c r="B30" s="2" t="s">
        <v>73</v>
      </c>
      <c r="C30" s="1" t="n">
        <v>46056</v>
      </c>
      <c r="D30" s="2" t="s">
        <v>57</v>
      </c>
      <c r="E30" s="0" t="s">
        <v>9</v>
      </c>
      <c r="F30" s="0" t="s">
        <v>34</v>
      </c>
      <c r="G30" s="0" t="n">
        <v>10280.5</v>
      </c>
      <c r="H30" s="0" t="n">
        <v>10249</v>
      </c>
      <c r="I30" s="0" t="n">
        <v>-31.5</v>
      </c>
      <c r="J30" s="0" t="n">
        <f aca="false"> HLOOKUP(E30, $E$2:$I$3, 2, 0)</f>
        <v>0.8</v>
      </c>
      <c r="K30" s="0" t="n">
        <v>-27.72</v>
      </c>
      <c r="L30" s="3" t="n">
        <f aca="false">IF($K30&gt;0,TRUE())</f>
        <v>0</v>
      </c>
      <c r="M30" s="4" t="n">
        <f aca="false">M29+K30</f>
        <v>407.55</v>
      </c>
      <c r="N30" s="4" t="str">
        <f aca="false">VLOOKUP(C30, Sheet2!$A$2:$E$166,  5)</f>
        <v>NO</v>
      </c>
      <c r="O30" s="4" t="n">
        <f aca="false">IF(N30="YES", K30, 0)</f>
        <v>0</v>
      </c>
      <c r="P30" s="4" t="n">
        <f aca="false">P29+O30</f>
        <v>401.31</v>
      </c>
      <c r="Q30" s="5" t="str">
        <f aca="false">IF(O30=0, "N/A", IF(O30&gt;0,TRUE()))</f>
        <v>N/A</v>
      </c>
      <c r="R30" s="3" t="n">
        <f aca="false">AND(TIMEVALUE(B30)&gt;=TIME(8,0,0), TIMEVALUE(B30)&lt;=TIME(16,30,0))</f>
        <v>0</v>
      </c>
      <c r="S30" s="5" t="n">
        <f aca="false">IF(AND(Q30=1, R30=1), O30, 0)</f>
        <v>0</v>
      </c>
      <c r="T30" s="4" t="n">
        <f aca="false">T29+S30</f>
        <v>424.47</v>
      </c>
    </row>
    <row r="31" customFormat="false" ht="12.8" hidden="false" customHeight="false" outlineLevel="0" collapsed="false">
      <c r="A31" s="1" t="n">
        <v>46056</v>
      </c>
      <c r="B31" s="2" t="s">
        <v>74</v>
      </c>
      <c r="C31" s="1" t="n">
        <v>46056</v>
      </c>
      <c r="D31" s="2" t="s">
        <v>75</v>
      </c>
      <c r="E31" s="0" t="s">
        <v>9</v>
      </c>
      <c r="F31" s="0" t="s">
        <v>34</v>
      </c>
      <c r="G31" s="0" t="n">
        <v>10218.5</v>
      </c>
      <c r="H31" s="0" t="n">
        <v>10264.5</v>
      </c>
      <c r="I31" s="0" t="n">
        <v>46</v>
      </c>
      <c r="J31" s="0" t="n">
        <f aca="false"> HLOOKUP(E31, $E$2:$I$3, 2, 0)</f>
        <v>0.8</v>
      </c>
      <c r="K31" s="0" t="n">
        <v>36.8</v>
      </c>
      <c r="L31" s="3" t="n">
        <f aca="false">IF($K31&gt;0,TRUE())</f>
        <v>1</v>
      </c>
      <c r="M31" s="4" t="n">
        <f aca="false">M30+K31</f>
        <v>444.35</v>
      </c>
      <c r="N31" s="4" t="str">
        <f aca="false">VLOOKUP(C31, Sheet2!$A$2:$E$166,  5)</f>
        <v>NO</v>
      </c>
      <c r="O31" s="4" t="n">
        <f aca="false">IF(N31="YES", K31, 0)</f>
        <v>0</v>
      </c>
      <c r="P31" s="4" t="n">
        <f aca="false">P30+O31</f>
        <v>401.31</v>
      </c>
      <c r="Q31" s="5" t="str">
        <f aca="false">IF(O31=0, "N/A", IF(O31&gt;0,TRUE()))</f>
        <v>N/A</v>
      </c>
      <c r="R31" s="3" t="n">
        <f aca="false">AND(TIMEVALUE(B31)&gt;=TIME(8,0,0), TIMEVALUE(B31)&lt;=TIME(16,30,0))</f>
        <v>1</v>
      </c>
      <c r="S31" s="5" t="n">
        <f aca="false">IF(AND(Q31=1, R31=1), O31, 0)</f>
        <v>0</v>
      </c>
      <c r="T31" s="4" t="n">
        <f aca="false">T30+S31</f>
        <v>424.47</v>
      </c>
    </row>
    <row r="32" customFormat="false" ht="12.8" hidden="false" customHeight="false" outlineLevel="0" collapsed="false">
      <c r="A32" s="1" t="n">
        <v>46056</v>
      </c>
      <c r="B32" s="2" t="s">
        <v>76</v>
      </c>
      <c r="C32" s="1" t="n">
        <v>46056</v>
      </c>
      <c r="D32" s="2" t="s">
        <v>77</v>
      </c>
      <c r="E32" s="0" t="s">
        <v>9</v>
      </c>
      <c r="F32" s="0" t="s">
        <v>34</v>
      </c>
      <c r="G32" s="0" t="n">
        <v>10231</v>
      </c>
      <c r="H32" s="0" t="n">
        <v>10241</v>
      </c>
      <c r="I32" s="0" t="n">
        <v>10</v>
      </c>
      <c r="J32" s="0" t="n">
        <f aca="false"> HLOOKUP(E32, $E$2:$I$3, 2, 0)</f>
        <v>0.8</v>
      </c>
      <c r="K32" s="0" t="n">
        <v>8</v>
      </c>
      <c r="L32" s="3" t="n">
        <f aca="false">IF($K32&gt;0,TRUE())</f>
        <v>1</v>
      </c>
      <c r="M32" s="4" t="n">
        <f aca="false">M31+K32</f>
        <v>452.35</v>
      </c>
      <c r="N32" s="4" t="str">
        <f aca="false">VLOOKUP(C32, Sheet2!$A$2:$E$166,  5)</f>
        <v>NO</v>
      </c>
      <c r="O32" s="4" t="n">
        <f aca="false">IF(N32="YES", K32, 0)</f>
        <v>0</v>
      </c>
      <c r="P32" s="4" t="n">
        <f aca="false">P31+O32</f>
        <v>401.31</v>
      </c>
      <c r="Q32" s="5" t="str">
        <f aca="false">IF(O32=0, "N/A", IF(O32&gt;0,TRUE()))</f>
        <v>N/A</v>
      </c>
      <c r="R32" s="3" t="n">
        <f aca="false">AND(TIMEVALUE(B32)&gt;=TIME(8,0,0), TIMEVALUE(B32)&lt;=TIME(16,30,0))</f>
        <v>1</v>
      </c>
      <c r="S32" s="5" t="n">
        <f aca="false">IF(AND(Q32=1, R32=1), O32, 0)</f>
        <v>0</v>
      </c>
      <c r="T32" s="4" t="n">
        <f aca="false">T31+S32</f>
        <v>424.47</v>
      </c>
    </row>
    <row r="33" customFormat="false" ht="12.8" hidden="false" customHeight="false" outlineLevel="0" collapsed="false">
      <c r="A33" s="1" t="n">
        <v>46058</v>
      </c>
      <c r="B33" s="2" t="s">
        <v>53</v>
      </c>
      <c r="C33" s="1" t="n">
        <v>46058</v>
      </c>
      <c r="D33" s="2" t="s">
        <v>41</v>
      </c>
      <c r="E33" s="0" t="s">
        <v>4</v>
      </c>
      <c r="F33" s="0" t="s">
        <v>34</v>
      </c>
      <c r="G33" s="0" t="n">
        <v>8249.5</v>
      </c>
      <c r="H33" s="0" t="n">
        <v>8214</v>
      </c>
      <c r="I33" s="0" t="n">
        <v>-35.5</v>
      </c>
      <c r="J33" s="0" t="n">
        <f aca="false"> HLOOKUP(E33, $E$2:$I$3, 2, 0)</f>
        <v>1</v>
      </c>
      <c r="K33" s="0" t="n">
        <v>-39.05</v>
      </c>
      <c r="L33" s="3" t="n">
        <f aca="false">IF($K33&gt;0,TRUE())</f>
        <v>0</v>
      </c>
      <c r="M33" s="4" t="n">
        <f aca="false">M32+K33</f>
        <v>413.3</v>
      </c>
      <c r="N33" s="4" t="str">
        <f aca="false">VLOOKUP(C33, Sheet2!$A$2:$E$166,  5)</f>
        <v>NO</v>
      </c>
      <c r="O33" s="4" t="n">
        <f aca="false">IF(N33="YES", K33, 0)</f>
        <v>0</v>
      </c>
      <c r="P33" s="4" t="n">
        <f aca="false">P32+O33</f>
        <v>401.31</v>
      </c>
      <c r="Q33" s="5" t="str">
        <f aca="false">IF(O33=0, "N/A", IF(O33&gt;0,TRUE()))</f>
        <v>N/A</v>
      </c>
      <c r="R33" s="3" t="n">
        <f aca="false">AND(TIMEVALUE(B33)&gt;=TIME(8,0,0), TIMEVALUE(B33)&lt;=TIME(16,30,0))</f>
        <v>0</v>
      </c>
      <c r="S33" s="5" t="n">
        <f aca="false">IF(AND(Q33=1, R33=1), O33, 0)</f>
        <v>0</v>
      </c>
      <c r="T33" s="4" t="n">
        <f aca="false">T32+S33</f>
        <v>424.47</v>
      </c>
    </row>
    <row r="34" customFormat="false" ht="12.8" hidden="false" customHeight="false" outlineLevel="0" collapsed="false">
      <c r="A34" s="1" t="n">
        <v>46058</v>
      </c>
      <c r="B34" s="2" t="s">
        <v>78</v>
      </c>
      <c r="C34" s="1" t="n">
        <v>46058</v>
      </c>
      <c r="D34" s="2" t="s">
        <v>79</v>
      </c>
      <c r="E34" s="0" t="s">
        <v>4</v>
      </c>
      <c r="F34" s="0" t="s">
        <v>34</v>
      </c>
      <c r="G34" s="0" t="n">
        <v>8223.5</v>
      </c>
      <c r="H34" s="0" t="n">
        <v>8242.5</v>
      </c>
      <c r="I34" s="0" t="n">
        <v>19</v>
      </c>
      <c r="J34" s="0" t="n">
        <f aca="false"> HLOOKUP(E34, $E$2:$I$3, 2, 0)</f>
        <v>1</v>
      </c>
      <c r="K34" s="0" t="n">
        <v>19</v>
      </c>
      <c r="L34" s="3" t="n">
        <f aca="false">IF($K34&gt;0,TRUE())</f>
        <v>1</v>
      </c>
      <c r="M34" s="4" t="n">
        <f aca="false">M33+K34</f>
        <v>432.3</v>
      </c>
      <c r="N34" s="4" t="str">
        <f aca="false">VLOOKUP(C34, Sheet2!$A$2:$E$166,  5)</f>
        <v>NO</v>
      </c>
      <c r="O34" s="4" t="n">
        <f aca="false">IF(N34="YES", K34, 0)</f>
        <v>0</v>
      </c>
      <c r="P34" s="4" t="n">
        <f aca="false">P33+O34</f>
        <v>401.31</v>
      </c>
      <c r="Q34" s="5" t="str">
        <f aca="false">IF(O34=0, "N/A", IF(O34&gt;0,TRUE()))</f>
        <v>N/A</v>
      </c>
      <c r="R34" s="3" t="n">
        <f aca="false">AND(TIMEVALUE(B34)&gt;=TIME(8,0,0), TIMEVALUE(B34)&lt;=TIME(16,30,0))</f>
        <v>1</v>
      </c>
      <c r="S34" s="5" t="n">
        <f aca="false">IF(AND(Q34=1, R34=1), O34, 0)</f>
        <v>0</v>
      </c>
      <c r="T34" s="4" t="n">
        <f aca="false">T33+S34</f>
        <v>424.47</v>
      </c>
    </row>
    <row r="35" customFormat="false" ht="12.8" hidden="false" customHeight="false" outlineLevel="0" collapsed="false">
      <c r="A35" s="1" t="n">
        <v>46058</v>
      </c>
      <c r="B35" s="2" t="s">
        <v>80</v>
      </c>
      <c r="C35" s="1" t="n">
        <v>46058</v>
      </c>
      <c r="D35" s="2" t="s">
        <v>81</v>
      </c>
      <c r="E35" s="0" t="s">
        <v>9</v>
      </c>
      <c r="F35" s="0" t="s">
        <v>34</v>
      </c>
      <c r="G35" s="0" t="n">
        <v>10222</v>
      </c>
      <c r="H35" s="0" t="n">
        <v>10236.5</v>
      </c>
      <c r="I35" s="0" t="n">
        <v>14.5</v>
      </c>
      <c r="J35" s="0" t="n">
        <f aca="false"> HLOOKUP(E35, $E$2:$I$3, 2, 0)</f>
        <v>0.8</v>
      </c>
      <c r="K35" s="0" t="n">
        <v>11.6</v>
      </c>
      <c r="L35" s="3" t="n">
        <f aca="false">IF($K35&gt;0,TRUE())</f>
        <v>1</v>
      </c>
      <c r="M35" s="4" t="n">
        <f aca="false">M34+K35</f>
        <v>443.9</v>
      </c>
      <c r="N35" s="4" t="str">
        <f aca="false">VLOOKUP(C35, Sheet2!$A$2:$E$166,  5)</f>
        <v>NO</v>
      </c>
      <c r="O35" s="4" t="n">
        <f aca="false">IF(N35="YES", K35, 0)</f>
        <v>0</v>
      </c>
      <c r="P35" s="4" t="n">
        <f aca="false">P34+O35</f>
        <v>401.31</v>
      </c>
      <c r="Q35" s="5" t="str">
        <f aca="false">IF(O35=0, "N/A", IF(O35&gt;0,TRUE()))</f>
        <v>N/A</v>
      </c>
      <c r="R35" s="3" t="n">
        <f aca="false">AND(TIMEVALUE(B35)&gt;=TIME(8,0,0), TIMEVALUE(B35)&lt;=TIME(16,30,0))</f>
        <v>0</v>
      </c>
      <c r="S35" s="5" t="n">
        <f aca="false">IF(AND(Q35=1, R35=1), O35, 0)</f>
        <v>0</v>
      </c>
      <c r="T35" s="4" t="n">
        <f aca="false">T34+S35</f>
        <v>424.47</v>
      </c>
    </row>
    <row r="36" customFormat="false" ht="12.8" hidden="false" customHeight="false" outlineLevel="0" collapsed="false">
      <c r="A36" s="1" t="n">
        <v>46059</v>
      </c>
      <c r="B36" s="2" t="s">
        <v>82</v>
      </c>
      <c r="C36" s="1" t="n">
        <v>46059</v>
      </c>
      <c r="D36" s="2" t="s">
        <v>83</v>
      </c>
      <c r="E36" s="0" t="s">
        <v>10</v>
      </c>
      <c r="F36" s="0" t="s">
        <v>62</v>
      </c>
      <c r="G36" s="0" t="n">
        <v>24698</v>
      </c>
      <c r="H36" s="0" t="n">
        <v>24704</v>
      </c>
      <c r="I36" s="0" t="n">
        <v>-6</v>
      </c>
      <c r="J36" s="0" t="n">
        <f aca="false"> HLOOKUP(E36, $E$2:$I$3, 2, 0)</f>
        <v>0.37</v>
      </c>
      <c r="K36" s="0" t="n">
        <v>-2.4</v>
      </c>
      <c r="L36" s="3" t="n">
        <f aca="false">IF($K36&gt;0,TRUE())</f>
        <v>0</v>
      </c>
      <c r="M36" s="4" t="n">
        <f aca="false">M35+K36</f>
        <v>441.5</v>
      </c>
      <c r="N36" s="4" t="str">
        <f aca="false">VLOOKUP(C36, Sheet2!$A$2:$E$166,  5)</f>
        <v>NO</v>
      </c>
      <c r="O36" s="4" t="n">
        <f aca="false">IF(N36="YES", K36, 0)</f>
        <v>0</v>
      </c>
      <c r="P36" s="4" t="n">
        <f aca="false">P35+O36</f>
        <v>401.31</v>
      </c>
      <c r="Q36" s="5" t="str">
        <f aca="false">IF(O36=0, "N/A", IF(O36&gt;0,TRUE()))</f>
        <v>N/A</v>
      </c>
      <c r="R36" s="3" t="n">
        <f aca="false">AND(TIMEVALUE(B36)&gt;=TIME(8,0,0), TIMEVALUE(B36)&lt;=TIME(16,30,0))</f>
        <v>0</v>
      </c>
      <c r="S36" s="5" t="n">
        <f aca="false">IF(AND(Q36=1, R36=1), O36, 0)</f>
        <v>0</v>
      </c>
      <c r="T36" s="4" t="n">
        <f aca="false">T35+S36</f>
        <v>424.47</v>
      </c>
    </row>
    <row r="37" customFormat="false" ht="12.8" hidden="false" customHeight="false" outlineLevel="0" collapsed="false">
      <c r="A37" s="1" t="n">
        <v>46062</v>
      </c>
      <c r="B37" s="2" t="s">
        <v>67</v>
      </c>
      <c r="C37" s="1" t="n">
        <v>46062</v>
      </c>
      <c r="D37" s="2" t="s">
        <v>75</v>
      </c>
      <c r="E37" s="0" t="s">
        <v>9</v>
      </c>
      <c r="F37" s="0" t="s">
        <v>34</v>
      </c>
      <c r="G37" s="0" t="n">
        <v>10300</v>
      </c>
      <c r="H37" s="0" t="n">
        <v>10323</v>
      </c>
      <c r="I37" s="0" t="n">
        <v>23</v>
      </c>
      <c r="J37" s="0" t="n">
        <f aca="false"> HLOOKUP(E37, $E$2:$I$3, 2, 0)</f>
        <v>0.8</v>
      </c>
      <c r="K37" s="0" t="n">
        <v>18.4</v>
      </c>
      <c r="L37" s="3" t="n">
        <f aca="false">IF($K37&gt;0,TRUE())</f>
        <v>1</v>
      </c>
      <c r="M37" s="4" t="n">
        <f aca="false">M36+K37</f>
        <v>459.9</v>
      </c>
      <c r="N37" s="4" t="str">
        <f aca="false">VLOOKUP(C37, Sheet2!$A$2:$E$166,  5)</f>
        <v>NO</v>
      </c>
      <c r="O37" s="4" t="n">
        <f aca="false">IF(N37="YES", K37, 0)</f>
        <v>0</v>
      </c>
      <c r="P37" s="4" t="n">
        <f aca="false">P36+O37</f>
        <v>401.31</v>
      </c>
      <c r="Q37" s="5" t="str">
        <f aca="false">IF(O37=0, "N/A", IF(O37&gt;0,TRUE()))</f>
        <v>N/A</v>
      </c>
      <c r="R37" s="3" t="n">
        <f aca="false">AND(TIMEVALUE(B37)&gt;=TIME(8,0,0), TIMEVALUE(B37)&lt;=TIME(16,30,0))</f>
        <v>1</v>
      </c>
      <c r="S37" s="5" t="n">
        <f aca="false">IF(AND(Q37=1, R37=1), O37, 0)</f>
        <v>0</v>
      </c>
      <c r="T37" s="4" t="n">
        <f aca="false">T36+S37</f>
        <v>424.47</v>
      </c>
    </row>
    <row r="38" customFormat="false" ht="12.8" hidden="false" customHeight="false" outlineLevel="0" collapsed="false">
      <c r="A38" s="1" t="n">
        <v>46062</v>
      </c>
      <c r="B38" s="2" t="s">
        <v>63</v>
      </c>
      <c r="C38" s="1" t="n">
        <v>46062</v>
      </c>
      <c r="D38" s="2" t="s">
        <v>50</v>
      </c>
      <c r="E38" s="0" t="s">
        <v>9</v>
      </c>
      <c r="F38" s="0" t="s">
        <v>34</v>
      </c>
      <c r="G38" s="0" t="n">
        <v>10355.5</v>
      </c>
      <c r="H38" s="0" t="n">
        <v>10357.5</v>
      </c>
      <c r="I38" s="0" t="n">
        <v>2</v>
      </c>
      <c r="J38" s="0" t="n">
        <f aca="false"> HLOOKUP(E38, $E$2:$I$3, 2, 0)</f>
        <v>0.8</v>
      </c>
      <c r="K38" s="0" t="n">
        <v>1.76</v>
      </c>
      <c r="L38" s="3" t="n">
        <f aca="false">IF($K38&gt;0,TRUE())</f>
        <v>1</v>
      </c>
      <c r="M38" s="4" t="n">
        <f aca="false">M37+K38</f>
        <v>461.66</v>
      </c>
      <c r="N38" s="4" t="str">
        <f aca="false">VLOOKUP(C38, Sheet2!$A$2:$E$166,  5)</f>
        <v>NO</v>
      </c>
      <c r="O38" s="4" t="n">
        <f aca="false">IF(N38="YES", K38, 0)</f>
        <v>0</v>
      </c>
      <c r="P38" s="4" t="n">
        <f aca="false">P37+O38</f>
        <v>401.31</v>
      </c>
      <c r="Q38" s="5" t="str">
        <f aca="false">IF(O38=0, "N/A", IF(O38&gt;0,TRUE()))</f>
        <v>N/A</v>
      </c>
      <c r="R38" s="3" t="n">
        <f aca="false">AND(TIMEVALUE(B38)&gt;=TIME(8,0,0), TIMEVALUE(B38)&lt;=TIME(16,30,0))</f>
        <v>1</v>
      </c>
      <c r="S38" s="5" t="n">
        <f aca="false">IF(AND(Q38=1, R38=1), O38, 0)</f>
        <v>0</v>
      </c>
      <c r="T38" s="4" t="n">
        <f aca="false">T37+S38</f>
        <v>424.47</v>
      </c>
    </row>
    <row r="39" customFormat="false" ht="12.8" hidden="false" customHeight="false" outlineLevel="0" collapsed="false">
      <c r="A39" s="1" t="n">
        <v>46064</v>
      </c>
      <c r="B39" s="2" t="s">
        <v>84</v>
      </c>
      <c r="C39" s="1" t="n">
        <v>46064</v>
      </c>
      <c r="D39" s="2" t="s">
        <v>85</v>
      </c>
      <c r="E39" s="0" t="s">
        <v>10</v>
      </c>
      <c r="F39" s="0" t="s">
        <v>34</v>
      </c>
      <c r="G39" s="0" t="n">
        <v>24972</v>
      </c>
      <c r="H39" s="0" t="n">
        <v>25010</v>
      </c>
      <c r="I39" s="0" t="n">
        <v>38</v>
      </c>
      <c r="J39" s="0" t="n">
        <f aca="false"> HLOOKUP(E39, $E$2:$I$3, 2, 0)</f>
        <v>0.37</v>
      </c>
      <c r="K39" s="0" t="n">
        <v>15.2</v>
      </c>
      <c r="L39" s="3" t="n">
        <f aca="false">IF($K39&gt;0,TRUE())</f>
        <v>1</v>
      </c>
      <c r="M39" s="4" t="n">
        <f aca="false">M38+K39</f>
        <v>476.86</v>
      </c>
      <c r="N39" s="4" t="str">
        <f aca="false">VLOOKUP(C39, Sheet2!$A$2:$E$166,  5)</f>
        <v>YES</v>
      </c>
      <c r="O39" s="4" t="n">
        <f aca="false">IF(N39="YES", K39, 0)</f>
        <v>15.2</v>
      </c>
      <c r="P39" s="4" t="n">
        <f aca="false">P38+O39</f>
        <v>416.51</v>
      </c>
      <c r="Q39" s="3" t="b">
        <f aca="false">IF(O39=0, "N/A", IF(O39&gt;0,TRUE()))</f>
        <v>1</v>
      </c>
      <c r="R39" s="3" t="n">
        <f aca="false">AND(TIMEVALUE(B39)&gt;=TIME(8,0,0), TIMEVALUE(B39)&lt;=TIME(16,30,0))</f>
        <v>0</v>
      </c>
      <c r="S39" s="5" t="n">
        <f aca="false">IF(AND(Q39=1, R39=1), O39, 0)</f>
        <v>0</v>
      </c>
      <c r="T39" s="4" t="n">
        <f aca="false">T38+S39</f>
        <v>424.47</v>
      </c>
    </row>
    <row r="40" customFormat="false" ht="12.8" hidden="false" customHeight="false" outlineLevel="0" collapsed="false">
      <c r="A40" s="1" t="n">
        <v>46064</v>
      </c>
      <c r="B40" s="2" t="s">
        <v>58</v>
      </c>
      <c r="C40" s="1" t="n">
        <v>46064</v>
      </c>
      <c r="D40" s="2" t="s">
        <v>86</v>
      </c>
      <c r="E40" s="0" t="s">
        <v>10</v>
      </c>
      <c r="F40" s="0" t="s">
        <v>34</v>
      </c>
      <c r="G40" s="0" t="n">
        <v>24944</v>
      </c>
      <c r="H40" s="0" t="n">
        <v>24958</v>
      </c>
      <c r="I40" s="0" t="n">
        <v>14</v>
      </c>
      <c r="J40" s="0" t="n">
        <f aca="false"> HLOOKUP(E40, $E$2:$I$3, 2, 0)</f>
        <v>0.37</v>
      </c>
      <c r="K40" s="0" t="n">
        <v>5.18</v>
      </c>
      <c r="L40" s="3" t="n">
        <f aca="false">IF($K40&gt;0,TRUE())</f>
        <v>1</v>
      </c>
      <c r="M40" s="4" t="n">
        <f aca="false">M39+K40</f>
        <v>482.04</v>
      </c>
      <c r="N40" s="4" t="str">
        <f aca="false">VLOOKUP(C40, Sheet2!$A$2:$E$166,  5)</f>
        <v>YES</v>
      </c>
      <c r="O40" s="4" t="n">
        <f aca="false">IF(N40="YES", K40, 0)</f>
        <v>5.18</v>
      </c>
      <c r="P40" s="4" t="n">
        <f aca="false">P39+O40</f>
        <v>421.69</v>
      </c>
      <c r="Q40" s="3" t="b">
        <f aca="false">IF(O40=0, "N/A", IF(O40&gt;0,TRUE()))</f>
        <v>1</v>
      </c>
      <c r="R40" s="3" t="n">
        <f aca="false">AND(TIMEVALUE(B40)&gt;=TIME(8,0,0), TIMEVALUE(B40)&lt;=TIME(16,30,0))</f>
        <v>1</v>
      </c>
      <c r="S40" s="5" t="n">
        <f aca="false">IF(AND(Q40=1, R40=1), O40, 0)</f>
        <v>5.18</v>
      </c>
      <c r="T40" s="4" t="n">
        <f aca="false">T39+S40</f>
        <v>429.65</v>
      </c>
    </row>
    <row r="41" customFormat="false" ht="12.8" hidden="false" customHeight="false" outlineLevel="0" collapsed="false">
      <c r="A41" s="1" t="n">
        <v>46064</v>
      </c>
      <c r="B41" s="2" t="s">
        <v>87</v>
      </c>
      <c r="C41" s="1" t="n">
        <v>46064</v>
      </c>
      <c r="D41" s="2" t="s">
        <v>77</v>
      </c>
      <c r="E41" s="0" t="s">
        <v>10</v>
      </c>
      <c r="F41" s="0" t="s">
        <v>34</v>
      </c>
      <c r="G41" s="0" t="n">
        <v>24972</v>
      </c>
      <c r="H41" s="0" t="n">
        <v>25013</v>
      </c>
      <c r="I41" s="0" t="n">
        <v>41</v>
      </c>
      <c r="J41" s="0" t="n">
        <f aca="false"> HLOOKUP(E41, $E$2:$I$3, 2, 0)</f>
        <v>0.37</v>
      </c>
      <c r="K41" s="0" t="n">
        <v>16.4</v>
      </c>
      <c r="L41" s="3" t="n">
        <f aca="false">IF($K41&gt;0,TRUE())</f>
        <v>1</v>
      </c>
      <c r="M41" s="4" t="n">
        <f aca="false">M40+K41</f>
        <v>498.44</v>
      </c>
      <c r="N41" s="4" t="str">
        <f aca="false">VLOOKUP(C41, Sheet2!$A$2:$E$166,  5)</f>
        <v>YES</v>
      </c>
      <c r="O41" s="4" t="n">
        <f aca="false">IF(N41="YES", K41, 0)</f>
        <v>16.4</v>
      </c>
      <c r="P41" s="4" t="n">
        <f aca="false">P40+O41</f>
        <v>438.09</v>
      </c>
      <c r="Q41" s="3" t="b">
        <f aca="false">IF(O41=0, "N/A", IF(O41&gt;0,TRUE()))</f>
        <v>1</v>
      </c>
      <c r="R41" s="3" t="n">
        <f aca="false">AND(TIMEVALUE(B41)&gt;=TIME(8,0,0), TIMEVALUE(B41)&lt;=TIME(16,30,0))</f>
        <v>1</v>
      </c>
      <c r="S41" s="5" t="n">
        <f aca="false">IF(AND(Q41=1, R41=1), O41, 0)</f>
        <v>16.4</v>
      </c>
      <c r="T41" s="4" t="n">
        <f aca="false">T40+S41</f>
        <v>446.05</v>
      </c>
    </row>
    <row r="42" customFormat="false" ht="12.8" hidden="false" customHeight="false" outlineLevel="0" collapsed="false">
      <c r="A42" s="1" t="n">
        <v>46065</v>
      </c>
      <c r="B42" s="2" t="s">
        <v>39</v>
      </c>
      <c r="C42" s="1" t="n">
        <v>46065</v>
      </c>
      <c r="D42" s="2" t="s">
        <v>41</v>
      </c>
      <c r="E42" s="0" t="s">
        <v>9</v>
      </c>
      <c r="F42" s="0" t="s">
        <v>34</v>
      </c>
      <c r="G42" s="0" t="n">
        <v>10461.5</v>
      </c>
      <c r="H42" s="0" t="n">
        <v>10427</v>
      </c>
      <c r="I42" s="0" t="n">
        <v>-34.5</v>
      </c>
      <c r="J42" s="0" t="n">
        <f aca="false"> HLOOKUP(E42, $E$2:$I$3, 2, 0)</f>
        <v>0.8</v>
      </c>
      <c r="K42" s="0" t="n">
        <v>-30.36</v>
      </c>
      <c r="L42" s="3" t="n">
        <f aca="false">IF($K42&gt;0,TRUE())</f>
        <v>0</v>
      </c>
      <c r="M42" s="4" t="n">
        <f aca="false">M41+K42</f>
        <v>468.08</v>
      </c>
      <c r="N42" s="4" t="str">
        <f aca="false">VLOOKUP(C42, Sheet2!$A$2:$E$166,  5)</f>
        <v>YES</v>
      </c>
      <c r="O42" s="4" t="n">
        <f aca="false">IF(N42="YES", K42, 0)</f>
        <v>-30.36</v>
      </c>
      <c r="P42" s="4" t="n">
        <f aca="false">P41+O42</f>
        <v>407.73</v>
      </c>
      <c r="Q42" s="3" t="b">
        <f aca="false">IF(O42=0, "N/A", IF(O42&gt;0,TRUE()))</f>
        <v>0</v>
      </c>
      <c r="R42" s="3" t="n">
        <f aca="false">AND(TIMEVALUE(B42)&gt;=TIME(8,0,0), TIMEVALUE(B42)&lt;=TIME(16,30,0))</f>
        <v>0</v>
      </c>
      <c r="S42" s="5" t="n">
        <f aca="false">IF(AND(Q42=1, R42=1), O42, 0)</f>
        <v>0</v>
      </c>
      <c r="T42" s="4" t="n">
        <f aca="false">T41+S42</f>
        <v>446.05</v>
      </c>
    </row>
    <row r="43" customFormat="false" ht="12.8" hidden="false" customHeight="false" outlineLevel="0" collapsed="false">
      <c r="A43" s="1" t="n">
        <v>46065</v>
      </c>
      <c r="B43" s="2" t="s">
        <v>78</v>
      </c>
      <c r="C43" s="1" t="n">
        <v>46065</v>
      </c>
      <c r="D43" s="2" t="s">
        <v>88</v>
      </c>
      <c r="E43" s="0" t="s">
        <v>9</v>
      </c>
      <c r="F43" s="0" t="s">
        <v>34</v>
      </c>
      <c r="G43" s="0" t="n">
        <v>10446</v>
      </c>
      <c r="H43" s="0" t="n">
        <v>10397</v>
      </c>
      <c r="I43" s="0" t="n">
        <v>-49</v>
      </c>
      <c r="J43" s="0" t="n">
        <f aca="false"> HLOOKUP(E43, $E$2:$I$3, 2, 0)</f>
        <v>0.8</v>
      </c>
      <c r="K43" s="0" t="n">
        <v>-39.2</v>
      </c>
      <c r="L43" s="3" t="n">
        <f aca="false">IF($K43&gt;0,TRUE())</f>
        <v>0</v>
      </c>
      <c r="M43" s="4" t="n">
        <f aca="false">M42+K43</f>
        <v>428.88</v>
      </c>
      <c r="N43" s="4" t="str">
        <f aca="false">VLOOKUP(C43, Sheet2!$A$2:$E$166,  5)</f>
        <v>YES</v>
      </c>
      <c r="O43" s="4" t="n">
        <f aca="false">IF(N43="YES", K43, 0)</f>
        <v>-39.2</v>
      </c>
      <c r="P43" s="4" t="n">
        <f aca="false">P42+O43</f>
        <v>368.53</v>
      </c>
      <c r="Q43" s="3" t="b">
        <f aca="false">IF(O43=0, "N/A", IF(O43&gt;0,TRUE()))</f>
        <v>0</v>
      </c>
      <c r="R43" s="3" t="n">
        <f aca="false">AND(TIMEVALUE(B43)&gt;=TIME(8,0,0), TIMEVALUE(B43)&lt;=TIME(16,30,0))</f>
        <v>1</v>
      </c>
      <c r="S43" s="5" t="n">
        <f aca="false">IF(AND(Q43=1, R43=1), O43, 0)</f>
        <v>0</v>
      </c>
      <c r="T43" s="4" t="n">
        <f aca="false">T42+S43</f>
        <v>446.05</v>
      </c>
    </row>
    <row r="44" customFormat="false" ht="12.8" hidden="false" customHeight="false" outlineLevel="0" collapsed="false">
      <c r="A44" s="1" t="n">
        <v>46065</v>
      </c>
      <c r="B44" s="2" t="s">
        <v>43</v>
      </c>
      <c r="C44" s="1" t="n">
        <v>46065</v>
      </c>
      <c r="D44" s="2" t="s">
        <v>79</v>
      </c>
      <c r="E44" s="0" t="s">
        <v>4</v>
      </c>
      <c r="F44" s="0" t="s">
        <v>34</v>
      </c>
      <c r="G44" s="0" t="n">
        <v>8362.5</v>
      </c>
      <c r="H44" s="0" t="n">
        <v>8331.5</v>
      </c>
      <c r="I44" s="0" t="n">
        <v>-31</v>
      </c>
      <c r="J44" s="0" t="n">
        <f aca="false"> HLOOKUP(E44, $E$2:$I$3, 2, 0)</f>
        <v>1</v>
      </c>
      <c r="K44" s="0" t="n">
        <v>-31</v>
      </c>
      <c r="L44" s="3" t="n">
        <f aca="false">IF($K44&gt;0,TRUE())</f>
        <v>0</v>
      </c>
      <c r="M44" s="4" t="n">
        <f aca="false">M43+K44</f>
        <v>397.88</v>
      </c>
      <c r="N44" s="4" t="str">
        <f aca="false">VLOOKUP(C44, Sheet2!$A$2:$E$166,  5)</f>
        <v>YES</v>
      </c>
      <c r="O44" s="4" t="n">
        <f aca="false">IF(N44="YES", K44, 0)</f>
        <v>-31</v>
      </c>
      <c r="P44" s="4" t="n">
        <f aca="false">P43+O44</f>
        <v>337.53</v>
      </c>
      <c r="Q44" s="3" t="b">
        <f aca="false">IF(O44=0, "N/A", IF(O44&gt;0,TRUE()))</f>
        <v>0</v>
      </c>
      <c r="R44" s="3" t="n">
        <f aca="false">AND(TIMEVALUE(B44)&gt;=TIME(8,0,0), TIMEVALUE(B44)&lt;=TIME(16,30,0))</f>
        <v>1</v>
      </c>
      <c r="S44" s="5" t="n">
        <f aca="false">IF(AND(Q44=1, R44=1), O44, 0)</f>
        <v>0</v>
      </c>
      <c r="T44" s="4" t="n">
        <f aca="false">T43+S44</f>
        <v>446.05</v>
      </c>
    </row>
    <row r="45" customFormat="false" ht="12.8" hidden="false" customHeight="false" outlineLevel="0" collapsed="false">
      <c r="A45" s="1" t="n">
        <v>46065</v>
      </c>
      <c r="B45" s="2" t="s">
        <v>89</v>
      </c>
      <c r="C45" s="1" t="n">
        <v>46065</v>
      </c>
      <c r="D45" s="2" t="s">
        <v>90</v>
      </c>
      <c r="E45" s="0" t="s">
        <v>9</v>
      </c>
      <c r="F45" s="0" t="s">
        <v>34</v>
      </c>
      <c r="G45" s="0" t="n">
        <v>10370.5</v>
      </c>
      <c r="H45" s="0" t="n">
        <v>10423</v>
      </c>
      <c r="I45" s="0" t="n">
        <v>52.5</v>
      </c>
      <c r="J45" s="0" t="n">
        <f aca="false"> HLOOKUP(E45, $E$2:$I$3, 2, 0)</f>
        <v>0.8</v>
      </c>
      <c r="K45" s="0" t="n">
        <v>42</v>
      </c>
      <c r="L45" s="3" t="n">
        <f aca="false">IF($K45&gt;0,TRUE())</f>
        <v>1</v>
      </c>
      <c r="M45" s="4" t="n">
        <f aca="false">M44+K45</f>
        <v>439.88</v>
      </c>
      <c r="N45" s="4" t="str">
        <f aca="false">VLOOKUP(C45, Sheet2!$A$2:$E$166,  5)</f>
        <v>YES</v>
      </c>
      <c r="O45" s="4" t="n">
        <f aca="false">IF(N45="YES", K45, 0)</f>
        <v>42</v>
      </c>
      <c r="P45" s="4" t="n">
        <f aca="false">P44+O45</f>
        <v>379.53</v>
      </c>
      <c r="Q45" s="3" t="b">
        <f aca="false">IF(O45=0, "N/A", IF(O45&gt;0,TRUE()))</f>
        <v>1</v>
      </c>
      <c r="R45" s="3" t="n">
        <f aca="false">AND(TIMEVALUE(B45)&gt;=TIME(8,0,0), TIMEVALUE(B45)&lt;=TIME(16,30,0))</f>
        <v>1</v>
      </c>
      <c r="S45" s="5" t="n">
        <f aca="false">IF(AND(Q45=1, R45=1), O45, 0)</f>
        <v>42</v>
      </c>
      <c r="T45" s="4" t="n">
        <f aca="false">T44+S45</f>
        <v>488.05</v>
      </c>
    </row>
    <row r="46" customFormat="false" ht="12.8" hidden="false" customHeight="false" outlineLevel="0" collapsed="false">
      <c r="A46" s="1" t="n">
        <v>46066</v>
      </c>
      <c r="B46" s="2" t="s">
        <v>61</v>
      </c>
      <c r="C46" s="1" t="n">
        <v>46066</v>
      </c>
      <c r="D46" s="2" t="s">
        <v>91</v>
      </c>
      <c r="E46" s="0" t="s">
        <v>10</v>
      </c>
      <c r="F46" s="0" t="s">
        <v>34</v>
      </c>
      <c r="G46" s="0" t="n">
        <v>24891</v>
      </c>
      <c r="H46" s="0" t="n">
        <v>24915</v>
      </c>
      <c r="I46" s="0" t="n">
        <v>24</v>
      </c>
      <c r="J46" s="0" t="n">
        <f aca="false"> HLOOKUP(E46, $E$2:$I$3, 2, 0)</f>
        <v>0.37</v>
      </c>
      <c r="K46" s="0" t="n">
        <v>8.88</v>
      </c>
      <c r="L46" s="3" t="n">
        <f aca="false">IF($K46&gt;0,TRUE())</f>
        <v>1</v>
      </c>
      <c r="M46" s="4" t="n">
        <f aca="false">M45+K46</f>
        <v>448.76</v>
      </c>
      <c r="N46" s="4" t="str">
        <f aca="false">VLOOKUP(C46, Sheet2!$A$2:$E$166,  5)</f>
        <v>YES</v>
      </c>
      <c r="O46" s="4" t="n">
        <f aca="false">IF(N46="YES", K46, 0)</f>
        <v>8.88</v>
      </c>
      <c r="P46" s="4" t="n">
        <f aca="false">P45+O46</f>
        <v>388.41</v>
      </c>
      <c r="Q46" s="3" t="b">
        <f aca="false">IF(O46=0, "N/A", IF(O46&gt;0,TRUE()))</f>
        <v>1</v>
      </c>
      <c r="R46" s="3" t="n">
        <f aca="false">AND(TIMEVALUE(B46)&gt;=TIME(8,0,0), TIMEVALUE(B46)&lt;=TIME(16,30,0))</f>
        <v>1</v>
      </c>
      <c r="S46" s="5" t="n">
        <f aca="false">IF(AND(Q46=1, R46=1), O46, 0)</f>
        <v>8.88</v>
      </c>
      <c r="T46" s="4" t="n">
        <f aca="false">T45+S46</f>
        <v>496.93</v>
      </c>
    </row>
    <row r="47" customFormat="false" ht="12.8" hidden="false" customHeight="false" outlineLevel="0" collapsed="false">
      <c r="A47" s="1" t="n">
        <v>46066</v>
      </c>
      <c r="B47" s="2" t="s">
        <v>33</v>
      </c>
      <c r="C47" s="1" t="n">
        <v>46066</v>
      </c>
      <c r="D47" s="2" t="s">
        <v>92</v>
      </c>
      <c r="E47" s="0" t="s">
        <v>4</v>
      </c>
      <c r="F47" s="0" t="s">
        <v>34</v>
      </c>
      <c r="G47" s="0" t="n">
        <v>8311</v>
      </c>
      <c r="H47" s="0" t="n">
        <v>8324.5</v>
      </c>
      <c r="I47" s="0" t="n">
        <v>13.5</v>
      </c>
      <c r="J47" s="0" t="n">
        <f aca="false"> HLOOKUP(E47, $E$2:$I$3, 2, 0)</f>
        <v>1</v>
      </c>
      <c r="K47" s="0" t="n">
        <v>13.5</v>
      </c>
      <c r="L47" s="3" t="n">
        <f aca="false">IF($K47&gt;0,TRUE())</f>
        <v>1</v>
      </c>
      <c r="M47" s="4" t="n">
        <f aca="false">M46+K47</f>
        <v>462.26</v>
      </c>
      <c r="N47" s="4" t="str">
        <f aca="false">VLOOKUP(C47, Sheet2!$A$2:$E$166,  5)</f>
        <v>YES</v>
      </c>
      <c r="O47" s="4" t="n">
        <f aca="false">IF(N47="YES", K47, 0)</f>
        <v>13.5</v>
      </c>
      <c r="P47" s="4" t="n">
        <f aca="false">P46+O47</f>
        <v>401.91</v>
      </c>
      <c r="Q47" s="3" t="b">
        <f aca="false">IF(O47=0, "N/A", IF(O47&gt;0,TRUE()))</f>
        <v>1</v>
      </c>
      <c r="R47" s="3" t="n">
        <f aca="false">AND(TIMEVALUE(B47)&gt;=TIME(8,0,0), TIMEVALUE(B47)&lt;=TIME(16,30,0))</f>
        <v>1</v>
      </c>
      <c r="S47" s="5" t="n">
        <f aca="false">IF(AND(Q47=1, R47=1), O47, 0)</f>
        <v>13.5</v>
      </c>
      <c r="T47" s="4" t="n">
        <f aca="false">T46+S47</f>
        <v>510.43</v>
      </c>
    </row>
    <row r="48" customFormat="false" ht="12.8" hidden="false" customHeight="false" outlineLevel="0" collapsed="false">
      <c r="A48" s="1" t="n">
        <v>46069</v>
      </c>
      <c r="B48" s="2" t="s">
        <v>93</v>
      </c>
      <c r="C48" s="1" t="n">
        <v>46069</v>
      </c>
      <c r="D48" s="2" t="s">
        <v>53</v>
      </c>
      <c r="E48" s="0" t="s">
        <v>11</v>
      </c>
      <c r="F48" s="0" t="s">
        <v>62</v>
      </c>
      <c r="G48" s="0" t="n">
        <v>26478.160228</v>
      </c>
      <c r="H48" s="0" t="n">
        <v>26478.160228</v>
      </c>
      <c r="I48" s="0" t="n">
        <v>0</v>
      </c>
      <c r="J48" s="0" t="n">
        <f aca="false"> HLOOKUP(E48, $E$2:$I$3, 2, 0)</f>
        <v>0.2</v>
      </c>
      <c r="K48" s="0" t="n">
        <v>0</v>
      </c>
      <c r="L48" s="3" t="n">
        <f aca="false">IF($K48&gt;0,TRUE())</f>
        <v>0</v>
      </c>
      <c r="M48" s="4" t="n">
        <f aca="false">M47+K48</f>
        <v>462.26</v>
      </c>
      <c r="N48" s="4" t="str">
        <f aca="false">VLOOKUP(C48, Sheet2!$A$2:$E$166,  5)</f>
        <v>YES</v>
      </c>
      <c r="O48" s="4" t="n">
        <f aca="false">IF(N48="YES", K48, 0)</f>
        <v>0</v>
      </c>
      <c r="P48" s="4" t="n">
        <f aca="false">P47+O48</f>
        <v>401.91</v>
      </c>
      <c r="Q48" s="5" t="str">
        <f aca="false">IF(O48=0, "N/A", IF(O48&gt;0,TRUE()))</f>
        <v>N/A</v>
      </c>
      <c r="R48" s="3" t="n">
        <f aca="false">AND(TIMEVALUE(B48)&gt;=TIME(8,0,0), TIMEVALUE(B48)&lt;=TIME(16,30,0))</f>
        <v>0</v>
      </c>
      <c r="S48" s="5" t="n">
        <f aca="false">IF(AND(Q48=1, R48=1), O48, 0)</f>
        <v>0</v>
      </c>
      <c r="T48" s="4" t="n">
        <f aca="false">T47+S48</f>
        <v>510.43</v>
      </c>
    </row>
    <row r="49" customFormat="false" ht="12.8" hidden="false" customHeight="false" outlineLevel="0" collapsed="false">
      <c r="A49" s="1" t="n">
        <v>46069</v>
      </c>
      <c r="B49" s="2" t="s">
        <v>94</v>
      </c>
      <c r="C49" s="1" t="n">
        <v>46069</v>
      </c>
      <c r="D49" s="2" t="s">
        <v>42</v>
      </c>
      <c r="E49" s="0" t="s">
        <v>10</v>
      </c>
      <c r="F49" s="0" t="s">
        <v>34</v>
      </c>
      <c r="G49" s="0" t="n">
        <v>24921</v>
      </c>
      <c r="H49" s="0" t="n">
        <v>24856</v>
      </c>
      <c r="I49" s="0" t="n">
        <v>-65</v>
      </c>
      <c r="J49" s="0" t="n">
        <f aca="false"> HLOOKUP(E49, $E$2:$I$3, 2, 0)</f>
        <v>0.37</v>
      </c>
      <c r="K49" s="0" t="n">
        <v>-24.05</v>
      </c>
      <c r="L49" s="3" t="n">
        <f aca="false">IF($K49&gt;0,TRUE())</f>
        <v>0</v>
      </c>
      <c r="M49" s="4" t="n">
        <f aca="false">M48+K49</f>
        <v>438.21</v>
      </c>
      <c r="N49" s="4" t="str">
        <f aca="false">VLOOKUP(C49, Sheet2!$A$2:$E$166,  5)</f>
        <v>YES</v>
      </c>
      <c r="O49" s="4" t="n">
        <f aca="false">IF(N49="YES", K49, 0)</f>
        <v>-24.05</v>
      </c>
      <c r="P49" s="4" t="n">
        <f aca="false">P48+O49</f>
        <v>377.86</v>
      </c>
      <c r="Q49" s="3" t="b">
        <f aca="false">IF(O49=0, "N/A", IF(O49&gt;0,TRUE()))</f>
        <v>0</v>
      </c>
      <c r="R49" s="3" t="n">
        <f aca="false">AND(TIMEVALUE(B49)&gt;=TIME(8,0,0), TIMEVALUE(B49)&lt;=TIME(16,30,0))</f>
        <v>1</v>
      </c>
      <c r="S49" s="5" t="n">
        <f aca="false">IF(AND(Q49=1, R49=1), O49, 0)</f>
        <v>0</v>
      </c>
      <c r="T49" s="4" t="n">
        <f aca="false">T48+S49</f>
        <v>510.43</v>
      </c>
    </row>
    <row r="50" customFormat="false" ht="12.8" hidden="false" customHeight="false" outlineLevel="0" collapsed="false">
      <c r="A50" s="1" t="n">
        <v>46072</v>
      </c>
      <c r="B50" s="2" t="s">
        <v>91</v>
      </c>
      <c r="C50" s="1" t="n">
        <v>46072</v>
      </c>
      <c r="D50" s="2" t="s">
        <v>55</v>
      </c>
      <c r="E50" s="0" t="s">
        <v>10</v>
      </c>
      <c r="F50" s="0" t="s">
        <v>34</v>
      </c>
      <c r="G50" s="0" t="n">
        <v>25066</v>
      </c>
      <c r="H50" s="0" t="n">
        <v>25062</v>
      </c>
      <c r="I50" s="0" t="n">
        <v>-4</v>
      </c>
      <c r="J50" s="0" t="n">
        <f aca="false"> HLOOKUP(E50, $E$2:$I$3, 2, 0)</f>
        <v>0.37</v>
      </c>
      <c r="K50" s="0" t="n">
        <v>-1.48</v>
      </c>
      <c r="L50" s="3" t="n">
        <f aca="false">IF($K50&gt;0,TRUE())</f>
        <v>0</v>
      </c>
      <c r="M50" s="4" t="n">
        <f aca="false">M49+K50</f>
        <v>436.73</v>
      </c>
      <c r="N50" s="4" t="str">
        <f aca="false">VLOOKUP(C50, Sheet2!$A$2:$E$166,  5)</f>
        <v>YES</v>
      </c>
      <c r="O50" s="4" t="n">
        <f aca="false">IF(N50="YES", K50, 0)</f>
        <v>-1.48</v>
      </c>
      <c r="P50" s="4" t="n">
        <f aca="false">P49+O50</f>
        <v>376.38</v>
      </c>
      <c r="Q50" s="3" t="b">
        <f aca="false">IF(O50=0, "N/A", IF(O50&gt;0,TRUE()))</f>
        <v>0</v>
      </c>
      <c r="R50" s="3" t="n">
        <f aca="false">AND(TIMEVALUE(B50)&gt;=TIME(8,0,0), TIMEVALUE(B50)&lt;=TIME(16,30,0))</f>
        <v>1</v>
      </c>
      <c r="S50" s="5" t="n">
        <f aca="false">IF(AND(Q50=1, R50=1), O50, 0)</f>
        <v>0</v>
      </c>
      <c r="T50" s="4" t="n">
        <f aca="false">T49+S50</f>
        <v>510.43</v>
      </c>
    </row>
    <row r="51" customFormat="false" ht="12.8" hidden="false" customHeight="false" outlineLevel="0" collapsed="false">
      <c r="A51" s="1" t="n">
        <v>46076</v>
      </c>
      <c r="B51" s="2" t="s">
        <v>33</v>
      </c>
      <c r="C51" s="1" t="n">
        <v>46076</v>
      </c>
      <c r="D51" s="2" t="s">
        <v>95</v>
      </c>
      <c r="E51" s="0" t="s">
        <v>9</v>
      </c>
      <c r="F51" s="0" t="s">
        <v>34</v>
      </c>
      <c r="G51" s="0" t="n">
        <v>10671</v>
      </c>
      <c r="H51" s="0" t="n">
        <v>10679</v>
      </c>
      <c r="I51" s="0" t="n">
        <v>8</v>
      </c>
      <c r="J51" s="0" t="n">
        <f aca="false"> HLOOKUP(E51, $E$2:$I$3, 2, 0)</f>
        <v>0.8</v>
      </c>
      <c r="K51" s="0" t="n">
        <v>6.4</v>
      </c>
      <c r="L51" s="3" t="n">
        <f aca="false">IF($K51&gt;0,TRUE())</f>
        <v>1</v>
      </c>
      <c r="M51" s="4" t="n">
        <f aca="false">M50+K51</f>
        <v>443.13</v>
      </c>
      <c r="N51" s="4" t="str">
        <f aca="false">VLOOKUP(C51, Sheet2!$A$2:$E$166,  5)</f>
        <v>YES</v>
      </c>
      <c r="O51" s="4" t="n">
        <f aca="false">IF(N51="YES", K51, 0)</f>
        <v>6.4</v>
      </c>
      <c r="P51" s="4" t="n">
        <f aca="false">P50+O51</f>
        <v>382.78</v>
      </c>
      <c r="Q51" s="3" t="b">
        <f aca="false">IF(O51=0, "N/A", IF(O51&gt;0,TRUE()))</f>
        <v>1</v>
      </c>
      <c r="R51" s="3" t="n">
        <f aca="false">AND(TIMEVALUE(B51)&gt;=TIME(8,0,0), TIMEVALUE(B51)&lt;=TIME(16,30,0))</f>
        <v>1</v>
      </c>
      <c r="S51" s="5" t="n">
        <f aca="false">IF(AND(Q51=1, R51=1), O51, 0)</f>
        <v>6.4</v>
      </c>
      <c r="T51" s="4" t="n">
        <f aca="false">T50+S51</f>
        <v>516.83</v>
      </c>
    </row>
    <row r="52" customFormat="false" ht="12.8" hidden="false" customHeight="false" outlineLevel="0" collapsed="false">
      <c r="A52" s="1" t="n">
        <v>46077</v>
      </c>
      <c r="B52" s="2" t="s">
        <v>96</v>
      </c>
      <c r="C52" s="1" t="n">
        <v>46077</v>
      </c>
      <c r="D52" s="2" t="s">
        <v>70</v>
      </c>
      <c r="E52" s="0" t="s">
        <v>10</v>
      </c>
      <c r="F52" s="0" t="s">
        <v>34</v>
      </c>
      <c r="G52" s="0" t="n">
        <v>24990</v>
      </c>
      <c r="H52" s="0" t="n">
        <v>25004</v>
      </c>
      <c r="I52" s="0" t="n">
        <v>14</v>
      </c>
      <c r="J52" s="0" t="n">
        <f aca="false"> HLOOKUP(E52, $E$2:$I$3, 2, 0)</f>
        <v>0.37</v>
      </c>
      <c r="K52" s="0" t="n">
        <v>5.6</v>
      </c>
      <c r="L52" s="3" t="n">
        <f aca="false">IF($K52&gt;0,TRUE())</f>
        <v>1</v>
      </c>
      <c r="M52" s="4" t="n">
        <f aca="false">M51+K52</f>
        <v>448.73</v>
      </c>
      <c r="N52" s="4" t="str">
        <f aca="false">VLOOKUP(C52, Sheet2!$A$2:$E$166,  5)</f>
        <v>YES</v>
      </c>
      <c r="O52" s="4" t="n">
        <f aca="false">IF(N52="YES", K52, 0)</f>
        <v>5.6</v>
      </c>
      <c r="P52" s="4" t="n">
        <f aca="false">P51+O52</f>
        <v>388.38</v>
      </c>
      <c r="Q52" s="3" t="b">
        <f aca="false">IF(O52=0, "N/A", IF(O52&gt;0,TRUE()))</f>
        <v>1</v>
      </c>
      <c r="R52" s="3" t="n">
        <f aca="false">AND(TIMEVALUE(B52)&gt;=TIME(8,0,0), TIMEVALUE(B52)&lt;=TIME(16,30,0))</f>
        <v>0</v>
      </c>
      <c r="S52" s="5" t="n">
        <f aca="false">IF(AND(Q52=1, R52=1), O52, 0)</f>
        <v>0</v>
      </c>
      <c r="T52" s="4" t="n">
        <f aca="false">T51+S52</f>
        <v>516.83</v>
      </c>
    </row>
    <row r="53" customFormat="false" ht="12.8" hidden="false" customHeight="false" outlineLevel="0" collapsed="false">
      <c r="A53" s="1" t="n">
        <v>46078</v>
      </c>
      <c r="B53" s="2" t="s">
        <v>97</v>
      </c>
      <c r="C53" s="1" t="n">
        <v>46078</v>
      </c>
      <c r="D53" s="2" t="s">
        <v>98</v>
      </c>
      <c r="E53" s="0" t="s">
        <v>4</v>
      </c>
      <c r="F53" s="0" t="s">
        <v>34</v>
      </c>
      <c r="G53" s="0" t="n">
        <v>8549.5</v>
      </c>
      <c r="H53" s="0" t="n">
        <v>8577</v>
      </c>
      <c r="I53" s="0" t="n">
        <v>27.5</v>
      </c>
      <c r="J53" s="0" t="n">
        <f aca="false"> HLOOKUP(E53, $E$2:$I$3, 2, 0)</f>
        <v>1</v>
      </c>
      <c r="K53" s="0" t="n">
        <v>27.5</v>
      </c>
      <c r="L53" s="3" t="n">
        <f aca="false">IF($K53&gt;0,TRUE())</f>
        <v>1</v>
      </c>
      <c r="M53" s="4" t="n">
        <f aca="false">M52+K53</f>
        <v>476.23</v>
      </c>
      <c r="N53" s="4" t="str">
        <f aca="false">VLOOKUP(C53, Sheet2!$A$2:$E$166,  5)</f>
        <v>YES</v>
      </c>
      <c r="O53" s="4" t="n">
        <f aca="false">IF(N53="YES", K53, 0)</f>
        <v>27.5</v>
      </c>
      <c r="P53" s="4" t="n">
        <f aca="false">P52+O53</f>
        <v>415.88</v>
      </c>
      <c r="Q53" s="3" t="b">
        <f aca="false">IF(O53=0, "N/A", IF(O53&gt;0,TRUE()))</f>
        <v>1</v>
      </c>
      <c r="R53" s="3" t="n">
        <f aca="false">AND(TIMEVALUE(B53)&gt;=TIME(8,0,0), TIMEVALUE(B53)&lt;=TIME(16,30,0))</f>
        <v>1</v>
      </c>
      <c r="S53" s="5" t="n">
        <f aca="false">IF(AND(Q53=1, R53=1), O53, 0)</f>
        <v>27.5</v>
      </c>
      <c r="T53" s="4" t="n">
        <f aca="false">T52+S53</f>
        <v>544.33</v>
      </c>
    </row>
    <row r="54" customFormat="false" ht="12.8" hidden="false" customHeight="false" outlineLevel="0" collapsed="false">
      <c r="A54" s="1" t="n">
        <v>46080</v>
      </c>
      <c r="B54" s="2" t="s">
        <v>71</v>
      </c>
      <c r="C54" s="1" t="n">
        <v>46080</v>
      </c>
      <c r="D54" s="2" t="s">
        <v>99</v>
      </c>
      <c r="E54" s="0" t="s">
        <v>4</v>
      </c>
      <c r="F54" s="0" t="s">
        <v>34</v>
      </c>
      <c r="G54" s="0" t="n">
        <v>8598.5</v>
      </c>
      <c r="H54" s="0" t="n">
        <v>8578.5</v>
      </c>
      <c r="I54" s="0" t="n">
        <v>-20</v>
      </c>
      <c r="J54" s="0" t="n">
        <f aca="false"> HLOOKUP(E54, $E$2:$I$3, 2, 0)</f>
        <v>1</v>
      </c>
      <c r="K54" s="0" t="n">
        <v>-20</v>
      </c>
      <c r="L54" s="3" t="n">
        <f aca="false">IF($K54&gt;0,TRUE())</f>
        <v>0</v>
      </c>
      <c r="M54" s="4" t="n">
        <f aca="false">M53+K54</f>
        <v>456.23</v>
      </c>
      <c r="N54" s="4" t="str">
        <f aca="false">VLOOKUP(C54, Sheet2!$A$2:$E$166,  5)</f>
        <v>YES</v>
      </c>
      <c r="O54" s="4" t="n">
        <f aca="false">IF(N54="YES", K54, 0)</f>
        <v>-20</v>
      </c>
      <c r="P54" s="4" t="n">
        <f aca="false">P53+O54</f>
        <v>395.88</v>
      </c>
      <c r="Q54" s="3" t="b">
        <f aca="false">IF(O54=0, "N/A", IF(O54&gt;0,TRUE()))</f>
        <v>0</v>
      </c>
      <c r="R54" s="3" t="n">
        <f aca="false">AND(TIMEVALUE(B54)&gt;=TIME(8,0,0), TIMEVALUE(B54)&lt;=TIME(16,30,0))</f>
        <v>1</v>
      </c>
      <c r="S54" s="5" t="n">
        <f aca="false">IF(AND(Q54=1, R54=1), O54, 0)</f>
        <v>0</v>
      </c>
      <c r="T54" s="4" t="n">
        <f aca="false">T53+S54</f>
        <v>544.33</v>
      </c>
    </row>
    <row r="55" customFormat="false" ht="12.8" hidden="false" customHeight="false" outlineLevel="0" collapsed="false">
      <c r="A55" s="1" t="n">
        <v>46080</v>
      </c>
      <c r="B55" s="2" t="s">
        <v>75</v>
      </c>
      <c r="C55" s="1" t="n">
        <v>46080</v>
      </c>
      <c r="D55" s="2" t="s">
        <v>100</v>
      </c>
      <c r="E55" s="0" t="s">
        <v>4</v>
      </c>
      <c r="F55" s="0" t="s">
        <v>34</v>
      </c>
      <c r="G55" s="0" t="n">
        <v>8587.5</v>
      </c>
      <c r="H55" s="0" t="n">
        <v>8617</v>
      </c>
      <c r="I55" s="0" t="n">
        <v>29.5</v>
      </c>
      <c r="J55" s="0" t="n">
        <f aca="false"> HLOOKUP(E55, $E$2:$I$3, 2, 0)</f>
        <v>1</v>
      </c>
      <c r="K55" s="0" t="n">
        <v>29.5</v>
      </c>
      <c r="L55" s="3" t="n">
        <f aca="false">IF($K55&gt;0,TRUE())</f>
        <v>1</v>
      </c>
      <c r="M55" s="4" t="n">
        <f aca="false">M54+K55</f>
        <v>485.73</v>
      </c>
      <c r="N55" s="4" t="str">
        <f aca="false">VLOOKUP(C55, Sheet2!$A$2:$E$166,  5)</f>
        <v>YES</v>
      </c>
      <c r="O55" s="4" t="n">
        <f aca="false">IF(N55="YES", K55, 0)</f>
        <v>29.5</v>
      </c>
      <c r="P55" s="4" t="n">
        <f aca="false">P54+O55</f>
        <v>425.38</v>
      </c>
      <c r="Q55" s="3" t="b">
        <f aca="false">IF(O55=0, "N/A", IF(O55&gt;0,TRUE()))</f>
        <v>1</v>
      </c>
      <c r="R55" s="3" t="n">
        <f aca="false">AND(TIMEVALUE(B55)&gt;=TIME(8,0,0), TIMEVALUE(B55)&lt;=TIME(16,30,0))</f>
        <v>1</v>
      </c>
      <c r="S55" s="5" t="n">
        <f aca="false">IF(AND(Q55=1, R55=1), O55, 0)</f>
        <v>29.5</v>
      </c>
      <c r="T55" s="4" t="n">
        <f aca="false">T54+S55</f>
        <v>573.83</v>
      </c>
    </row>
    <row r="56" customFormat="false" ht="12.8" hidden="false" customHeight="false" outlineLevel="0" collapsed="false">
      <c r="A56" s="1" t="n">
        <v>46083</v>
      </c>
      <c r="B56" s="2" t="s">
        <v>57</v>
      </c>
      <c r="C56" s="1" t="n">
        <v>46083</v>
      </c>
      <c r="D56" s="2" t="s">
        <v>75</v>
      </c>
      <c r="E56" s="0" t="s">
        <v>4</v>
      </c>
      <c r="F56" s="0" t="s">
        <v>34</v>
      </c>
      <c r="G56" s="0" t="n">
        <v>8413</v>
      </c>
      <c r="H56" s="0" t="n">
        <v>8405.5</v>
      </c>
      <c r="I56" s="0" t="n">
        <v>-7.5</v>
      </c>
      <c r="J56" s="0" t="n">
        <f aca="false"> HLOOKUP(E56, $E$2:$I$3, 2, 0)</f>
        <v>1</v>
      </c>
      <c r="K56" s="0" t="n">
        <v>-8.25</v>
      </c>
      <c r="L56" s="3" t="n">
        <f aca="false">IF($K56&gt;0,TRUE())</f>
        <v>0</v>
      </c>
      <c r="M56" s="4" t="n">
        <f aca="false">M55+K56</f>
        <v>477.48</v>
      </c>
      <c r="N56" s="4" t="str">
        <f aca="false">VLOOKUP(C56, Sheet2!$A$2:$E$166,  5)</f>
        <v>NO</v>
      </c>
      <c r="O56" s="4" t="n">
        <f aca="false">IF(N56="YES", K56, 0)</f>
        <v>0</v>
      </c>
      <c r="P56" s="4" t="n">
        <f aca="false">P55+O56</f>
        <v>425.38</v>
      </c>
      <c r="Q56" s="5" t="str">
        <f aca="false">IF(O56=0, "N/A", IF(O56&gt;0,TRUE()))</f>
        <v>N/A</v>
      </c>
      <c r="R56" s="3" t="n">
        <f aca="false">AND(TIMEVALUE(B56)&gt;=TIME(8,0,0), TIMEVALUE(B56)&lt;=TIME(16,30,0))</f>
        <v>0</v>
      </c>
      <c r="S56" s="5" t="n">
        <f aca="false">IF(AND(Q56=1, R56=1), O56, 0)</f>
        <v>0</v>
      </c>
      <c r="T56" s="4" t="n">
        <f aca="false">T55+S56</f>
        <v>573.83</v>
      </c>
    </row>
    <row r="57" customFormat="false" ht="12.8" hidden="false" customHeight="false" outlineLevel="0" collapsed="false">
      <c r="A57" s="1" t="n">
        <v>46086</v>
      </c>
      <c r="B57" s="2" t="s">
        <v>101</v>
      </c>
      <c r="C57" s="1" t="n">
        <v>46086</v>
      </c>
      <c r="D57" s="2" t="s">
        <v>41</v>
      </c>
      <c r="E57" s="0" t="s">
        <v>9</v>
      </c>
      <c r="F57" s="0" t="s">
        <v>34</v>
      </c>
      <c r="G57" s="0" t="n">
        <v>10507.5</v>
      </c>
      <c r="H57" s="0" t="n">
        <v>10476.5</v>
      </c>
      <c r="I57" s="0" t="n">
        <v>-31</v>
      </c>
      <c r="J57" s="0" t="n">
        <f aca="false"> HLOOKUP(E57, $E$2:$I$3, 2, 0)</f>
        <v>0.8</v>
      </c>
      <c r="K57" s="0" t="n">
        <v>-27.28</v>
      </c>
      <c r="L57" s="3" t="n">
        <f aca="false">IF($K57&gt;0,TRUE())</f>
        <v>0</v>
      </c>
      <c r="M57" s="4" t="n">
        <f aca="false">M56+K57</f>
        <v>450.2</v>
      </c>
      <c r="N57" s="4" t="str">
        <f aca="false">VLOOKUP(C57, Sheet2!$A$2:$E$166,  5)</f>
        <v>YES</v>
      </c>
      <c r="O57" s="4" t="n">
        <f aca="false">IF(N57="YES", K57, 0)</f>
        <v>-27.28</v>
      </c>
      <c r="P57" s="4" t="n">
        <f aca="false">P56+O57</f>
        <v>398.1</v>
      </c>
      <c r="Q57" s="3" t="b">
        <f aca="false">IF(O57=0, "N/A", IF(O57&gt;0,TRUE()))</f>
        <v>0</v>
      </c>
      <c r="R57" s="3" t="n">
        <f aca="false">AND(TIMEVALUE(B57)&gt;=TIME(8,0,0), TIMEVALUE(B57)&lt;=TIME(16,30,0))</f>
        <v>0</v>
      </c>
      <c r="S57" s="5" t="n">
        <f aca="false">IF(AND(Q57=1, R57=1), O57, 0)</f>
        <v>0</v>
      </c>
      <c r="T57" s="4" t="n">
        <f aca="false">T56+S57</f>
        <v>573.83</v>
      </c>
    </row>
    <row r="58" customFormat="false" ht="12.8" hidden="false" customHeight="false" outlineLevel="0" collapsed="false">
      <c r="A58" s="1" t="n">
        <v>46086</v>
      </c>
      <c r="B58" s="2" t="s">
        <v>102</v>
      </c>
      <c r="C58" s="1" t="n">
        <v>46086</v>
      </c>
      <c r="D58" s="2" t="s">
        <v>54</v>
      </c>
      <c r="E58" s="0" t="s">
        <v>10</v>
      </c>
      <c r="F58" s="0" t="s">
        <v>34</v>
      </c>
      <c r="G58" s="0" t="n">
        <v>24008</v>
      </c>
      <c r="H58" s="0" t="n">
        <v>23958</v>
      </c>
      <c r="I58" s="0" t="n">
        <v>-50</v>
      </c>
      <c r="J58" s="0" t="n">
        <f aca="false"> HLOOKUP(E58, $E$2:$I$3, 2, 0)</f>
        <v>0.37</v>
      </c>
      <c r="K58" s="0" t="n">
        <v>-18.5</v>
      </c>
      <c r="L58" s="3" t="n">
        <f aca="false">IF($K58&gt;0,TRUE())</f>
        <v>0</v>
      </c>
      <c r="M58" s="4" t="n">
        <f aca="false">M57+K58</f>
        <v>431.7</v>
      </c>
      <c r="N58" s="4" t="str">
        <f aca="false">VLOOKUP(C58, Sheet2!$A$2:$E$166,  5)</f>
        <v>YES</v>
      </c>
      <c r="O58" s="4" t="n">
        <f aca="false">IF(N58="YES", K58, 0)</f>
        <v>-18.5</v>
      </c>
      <c r="P58" s="4" t="n">
        <f aca="false">P57+O58</f>
        <v>379.6</v>
      </c>
      <c r="Q58" s="3" t="b">
        <f aca="false">IF(O58=0, "N/A", IF(O58&gt;0,TRUE()))</f>
        <v>0</v>
      </c>
      <c r="R58" s="3" t="n">
        <f aca="false">AND(TIMEVALUE(B58)&gt;=TIME(8,0,0), TIMEVALUE(B58)&lt;=TIME(16,30,0))</f>
        <v>1</v>
      </c>
      <c r="S58" s="5" t="n">
        <f aca="false">IF(AND(Q58=1, R58=1), O58, 0)</f>
        <v>0</v>
      </c>
      <c r="T58" s="4" t="n">
        <f aca="false">T57+S58</f>
        <v>573.83</v>
      </c>
    </row>
    <row r="59" customFormat="false" ht="12.8" hidden="false" customHeight="false" outlineLevel="0" collapsed="false">
      <c r="A59" s="1" t="n">
        <v>46091</v>
      </c>
      <c r="B59" s="2" t="s">
        <v>40</v>
      </c>
      <c r="C59" s="1" t="n">
        <v>46091</v>
      </c>
      <c r="D59" s="2" t="s">
        <v>103</v>
      </c>
      <c r="E59" s="0" t="s">
        <v>4</v>
      </c>
      <c r="F59" s="0" t="s">
        <v>34</v>
      </c>
      <c r="G59" s="0" t="n">
        <v>8018.5</v>
      </c>
      <c r="H59" s="0" t="n">
        <v>8044</v>
      </c>
      <c r="I59" s="0" t="n">
        <v>25.5</v>
      </c>
      <c r="J59" s="0" t="n">
        <f aca="false"> HLOOKUP(E59, $E$2:$I$3, 2, 0)</f>
        <v>1</v>
      </c>
      <c r="K59" s="0" t="n">
        <v>28.05</v>
      </c>
      <c r="L59" s="3" t="n">
        <f aca="false">IF($K59&gt;0,TRUE())</f>
        <v>1</v>
      </c>
      <c r="M59" s="4" t="n">
        <f aca="false">M58+K59</f>
        <v>459.75</v>
      </c>
      <c r="N59" s="4" t="str">
        <f aca="false">VLOOKUP(C59, Sheet2!$A$2:$E$166,  5)</f>
        <v>YES</v>
      </c>
      <c r="O59" s="4" t="n">
        <f aca="false">IF(N59="YES", K59, 0)</f>
        <v>28.05</v>
      </c>
      <c r="P59" s="4" t="n">
        <f aca="false">P58+O59</f>
        <v>407.65</v>
      </c>
      <c r="Q59" s="3" t="b">
        <f aca="false">IF(O59=0, "N/A", IF(O59&gt;0,TRUE()))</f>
        <v>1</v>
      </c>
      <c r="R59" s="3" t="n">
        <f aca="false">AND(TIMEVALUE(B59)&gt;=TIME(8,0,0), TIMEVALUE(B59)&lt;=TIME(16,30,0))</f>
        <v>0</v>
      </c>
      <c r="S59" s="5" t="n">
        <f aca="false">IF(AND(Q59=1, R59=1), O59, 0)</f>
        <v>0</v>
      </c>
      <c r="T59" s="4" t="n">
        <f aca="false">T58+S59</f>
        <v>573.83</v>
      </c>
    </row>
    <row r="60" customFormat="false" ht="12.8" hidden="false" customHeight="false" outlineLevel="0" collapsed="false">
      <c r="A60" s="1" t="n">
        <v>46093</v>
      </c>
      <c r="B60" s="2" t="s">
        <v>104</v>
      </c>
      <c r="C60" s="1" t="n">
        <v>46093</v>
      </c>
      <c r="D60" s="2" t="s">
        <v>61</v>
      </c>
      <c r="E60" s="0" t="s">
        <v>4</v>
      </c>
      <c r="F60" s="0" t="s">
        <v>34</v>
      </c>
      <c r="G60" s="0" t="n">
        <v>8002</v>
      </c>
      <c r="H60" s="0" t="n">
        <v>7974.5</v>
      </c>
      <c r="I60" s="0" t="n">
        <v>-27.5</v>
      </c>
      <c r="J60" s="0" t="n">
        <f aca="false"> HLOOKUP(E60, $E$2:$I$3, 2, 0)</f>
        <v>1</v>
      </c>
      <c r="K60" s="0" t="n">
        <v>-30.25</v>
      </c>
      <c r="L60" s="3" t="n">
        <f aca="false">IF($K60&gt;0,TRUE())</f>
        <v>0</v>
      </c>
      <c r="M60" s="4" t="n">
        <f aca="false">M59+K60</f>
        <v>429.5</v>
      </c>
      <c r="N60" s="4" t="str">
        <f aca="false">VLOOKUP(C60, Sheet2!$A$2:$E$166,  5)</f>
        <v>YES</v>
      </c>
      <c r="O60" s="4" t="n">
        <f aca="false">IF(N60="YES", K60, 0)</f>
        <v>-30.25</v>
      </c>
      <c r="P60" s="4" t="n">
        <f aca="false">P59+O60</f>
        <v>377.4</v>
      </c>
      <c r="Q60" s="3" t="b">
        <f aca="false">IF(O60=0, "N/A", IF(O60&gt;0,TRUE()))</f>
        <v>0</v>
      </c>
      <c r="R60" s="3" t="n">
        <f aca="false">AND(TIMEVALUE(B60)&gt;=TIME(8,0,0), TIMEVALUE(B60)&lt;=TIME(16,30,0))</f>
        <v>0</v>
      </c>
      <c r="S60" s="5" t="n">
        <f aca="false">IF(AND(Q60=1, R60=1), O60, 0)</f>
        <v>0</v>
      </c>
      <c r="T60" s="4" t="n">
        <f aca="false">T59+S60</f>
        <v>573.83</v>
      </c>
    </row>
    <row r="61" customFormat="false" ht="12.8" hidden="false" customHeight="false" outlineLevel="0" collapsed="false">
      <c r="A61" s="1" t="n">
        <v>46093</v>
      </c>
      <c r="B61" s="2" t="s">
        <v>66</v>
      </c>
      <c r="C61" s="1" t="n">
        <v>46093</v>
      </c>
      <c r="D61" s="2" t="s">
        <v>59</v>
      </c>
      <c r="E61" s="0" t="s">
        <v>9</v>
      </c>
      <c r="F61" s="0" t="s">
        <v>62</v>
      </c>
      <c r="G61" s="0" t="n">
        <v>10308.5</v>
      </c>
      <c r="H61" s="0" t="n">
        <v>10326</v>
      </c>
      <c r="I61" s="0" t="n">
        <v>-17.5</v>
      </c>
      <c r="J61" s="0" t="n">
        <f aca="false"> HLOOKUP(E61, $E$2:$I$3, 2, 0)</f>
        <v>0.8</v>
      </c>
      <c r="K61" s="0" t="n">
        <v>-15.4</v>
      </c>
      <c r="L61" s="3" t="n">
        <f aca="false">IF($K61&gt;0,TRUE())</f>
        <v>0</v>
      </c>
      <c r="M61" s="4" t="n">
        <f aca="false">M60+K61</f>
        <v>414.1</v>
      </c>
      <c r="N61" s="4" t="str">
        <f aca="false">VLOOKUP(C61, Sheet2!$A$2:$E$166,  5)</f>
        <v>YES</v>
      </c>
      <c r="O61" s="4" t="n">
        <f aca="false">IF(N61="YES", K61, 0)</f>
        <v>-15.4</v>
      </c>
      <c r="P61" s="4" t="n">
        <f aca="false">P60+O61</f>
        <v>362</v>
      </c>
      <c r="Q61" s="3" t="b">
        <f aca="false">IF(O61=0, "N/A", IF(O61&gt;0,TRUE()))</f>
        <v>0</v>
      </c>
      <c r="R61" s="3" t="n">
        <f aca="false">AND(TIMEVALUE(B61)&gt;=TIME(8,0,0), TIMEVALUE(B61)&lt;=TIME(16,30,0))</f>
        <v>1</v>
      </c>
      <c r="S61" s="5" t="n">
        <f aca="false">IF(AND(Q61=1, R61=1), O61, 0)</f>
        <v>0</v>
      </c>
      <c r="T61" s="4" t="n">
        <f aca="false">T60+S61</f>
        <v>573.83</v>
      </c>
    </row>
    <row r="62" customFormat="false" ht="12.8" hidden="false" customHeight="false" outlineLevel="0" collapsed="false">
      <c r="A62" s="1" t="n">
        <v>46097</v>
      </c>
      <c r="B62" s="2" t="s">
        <v>105</v>
      </c>
      <c r="C62" s="1" t="n">
        <v>46097</v>
      </c>
      <c r="D62" s="2" t="s">
        <v>83</v>
      </c>
      <c r="E62" s="0" t="s">
        <v>10</v>
      </c>
      <c r="F62" s="0" t="s">
        <v>62</v>
      </c>
      <c r="G62" s="0" t="n">
        <v>23499</v>
      </c>
      <c r="H62" s="0" t="n">
        <v>23587</v>
      </c>
      <c r="I62" s="0" t="n">
        <v>-88</v>
      </c>
      <c r="J62" s="0" t="n">
        <f aca="false"> HLOOKUP(E62, $E$2:$I$3, 2, 0)</f>
        <v>0.37</v>
      </c>
      <c r="K62" s="0" t="n">
        <v>-35.2</v>
      </c>
      <c r="L62" s="3" t="n">
        <f aca="false">IF($K62&gt;0,TRUE())</f>
        <v>0</v>
      </c>
      <c r="M62" s="4" t="n">
        <f aca="false">M61+K62</f>
        <v>378.9</v>
      </c>
      <c r="N62" s="4" t="str">
        <f aca="false">VLOOKUP(C62, Sheet2!$A$2:$E$166,  5)</f>
        <v>YES</v>
      </c>
      <c r="O62" s="4" t="n">
        <f aca="false">IF(N62="YES", K62, 0)</f>
        <v>-35.2</v>
      </c>
      <c r="P62" s="4" t="n">
        <f aca="false">P61+O62</f>
        <v>326.8</v>
      </c>
      <c r="Q62" s="3" t="b">
        <f aca="false">IF(O62=0, "N/A", IF(O62&gt;0,TRUE()))</f>
        <v>0</v>
      </c>
      <c r="R62" s="3" t="n">
        <f aca="false">AND(TIMEVALUE(B62)&gt;=TIME(8,0,0), TIMEVALUE(B62)&lt;=TIME(16,30,0))</f>
        <v>0</v>
      </c>
      <c r="S62" s="5" t="n">
        <f aca="false">IF(AND(Q62=1, R62=1), O62, 0)</f>
        <v>0</v>
      </c>
      <c r="T62" s="4" t="n">
        <f aca="false">T61+S62</f>
        <v>573.83</v>
      </c>
    </row>
    <row r="63" customFormat="false" ht="12.8" hidden="false" customHeight="false" outlineLevel="0" collapsed="false">
      <c r="A63" s="1" t="n">
        <v>46097</v>
      </c>
      <c r="B63" s="2" t="s">
        <v>67</v>
      </c>
      <c r="C63" s="1" t="n">
        <v>46097</v>
      </c>
      <c r="D63" s="2" t="s">
        <v>61</v>
      </c>
      <c r="E63" s="0" t="s">
        <v>9</v>
      </c>
      <c r="F63" s="0" t="s">
        <v>62</v>
      </c>
      <c r="G63" s="0" t="n">
        <v>10323</v>
      </c>
      <c r="H63" s="0" t="n">
        <v>10365</v>
      </c>
      <c r="I63" s="0" t="n">
        <v>-42</v>
      </c>
      <c r="J63" s="0" t="n">
        <f aca="false"> HLOOKUP(E63, $E$2:$I$3, 2, 0)</f>
        <v>0.8</v>
      </c>
      <c r="K63" s="0" t="n">
        <v>-33.6</v>
      </c>
      <c r="L63" s="3" t="n">
        <f aca="false">IF($K63&gt;0,TRUE())</f>
        <v>0</v>
      </c>
      <c r="M63" s="4" t="n">
        <f aca="false">M62+K63</f>
        <v>345.3</v>
      </c>
      <c r="N63" s="4" t="str">
        <f aca="false">VLOOKUP(C63, Sheet2!$A$2:$E$166,  5)</f>
        <v>YES</v>
      </c>
      <c r="O63" s="4" t="n">
        <f aca="false">IF(N63="YES", K63, 0)</f>
        <v>-33.6</v>
      </c>
      <c r="P63" s="4" t="n">
        <f aca="false">P62+O63</f>
        <v>293.2</v>
      </c>
      <c r="Q63" s="3" t="b">
        <f aca="false">IF(O63=0, "N/A", IF(O63&gt;0,TRUE()))</f>
        <v>0</v>
      </c>
      <c r="R63" s="3" t="n">
        <f aca="false">AND(TIMEVALUE(B63)&gt;=TIME(8,0,0), TIMEVALUE(B63)&lt;=TIME(16,30,0))</f>
        <v>1</v>
      </c>
      <c r="S63" s="5" t="n">
        <f aca="false">IF(AND(Q63=1, R63=1), O63, 0)</f>
        <v>0</v>
      </c>
      <c r="T63" s="4" t="n">
        <f aca="false">T62+S63</f>
        <v>573.83</v>
      </c>
    </row>
    <row r="64" customFormat="false" ht="12.8" hidden="false" customHeight="false" outlineLevel="0" collapsed="false">
      <c r="A64" s="1" t="n">
        <v>46097</v>
      </c>
      <c r="B64" s="2" t="s">
        <v>106</v>
      </c>
      <c r="C64" s="1" t="n">
        <v>46097</v>
      </c>
      <c r="D64" s="2" t="s">
        <v>51</v>
      </c>
      <c r="E64" s="0" t="s">
        <v>10</v>
      </c>
      <c r="F64" s="0" t="s">
        <v>62</v>
      </c>
      <c r="G64" s="0" t="n">
        <v>23631</v>
      </c>
      <c r="H64" s="0" t="n">
        <v>23643</v>
      </c>
      <c r="I64" s="0" t="n">
        <v>-12</v>
      </c>
      <c r="J64" s="0" t="n">
        <f aca="false"> HLOOKUP(E64, $E$2:$I$3, 2, 0)</f>
        <v>0.37</v>
      </c>
      <c r="K64" s="0" t="n">
        <v>-4.44</v>
      </c>
      <c r="L64" s="3" t="n">
        <f aca="false">IF($K64&gt;0,TRUE())</f>
        <v>0</v>
      </c>
      <c r="M64" s="4" t="n">
        <f aca="false">M63+K64</f>
        <v>340.86</v>
      </c>
      <c r="N64" s="4" t="str">
        <f aca="false">VLOOKUP(C64, Sheet2!$A$2:$E$166,  5)</f>
        <v>YES</v>
      </c>
      <c r="O64" s="4" t="n">
        <f aca="false">IF(N64="YES", K64, 0)</f>
        <v>-4.44</v>
      </c>
      <c r="P64" s="4" t="n">
        <f aca="false">P63+O64</f>
        <v>288.76</v>
      </c>
      <c r="Q64" s="3" t="b">
        <f aca="false">IF(O64=0, "N/A", IF(O64&gt;0,TRUE()))</f>
        <v>0</v>
      </c>
      <c r="R64" s="3" t="n">
        <f aca="false">AND(TIMEVALUE(B64)&gt;=TIME(8,0,0), TIMEVALUE(B64)&lt;=TIME(16,30,0))</f>
        <v>1</v>
      </c>
      <c r="S64" s="5" t="n">
        <f aca="false">IF(AND(Q64=1, R64=1), O64, 0)</f>
        <v>0</v>
      </c>
      <c r="T64" s="4" t="n">
        <f aca="false">T63+S64</f>
        <v>573.83</v>
      </c>
    </row>
    <row r="65" customFormat="false" ht="12.8" hidden="false" customHeight="false" outlineLevel="0" collapsed="false">
      <c r="A65" s="1" t="n">
        <v>46097</v>
      </c>
      <c r="B65" s="2" t="s">
        <v>107</v>
      </c>
      <c r="C65" s="1" t="n">
        <v>46097</v>
      </c>
      <c r="D65" s="2" t="s">
        <v>108</v>
      </c>
      <c r="E65" s="0" t="s">
        <v>10</v>
      </c>
      <c r="F65" s="0" t="s">
        <v>62</v>
      </c>
      <c r="G65" s="0" t="n">
        <v>23625</v>
      </c>
      <c r="H65" s="0" t="n">
        <v>23549</v>
      </c>
      <c r="I65" s="0" t="n">
        <v>76</v>
      </c>
      <c r="J65" s="0" t="n">
        <f aca="false"> HLOOKUP(E65, $E$2:$I$3, 2, 0)</f>
        <v>0.37</v>
      </c>
      <c r="K65" s="0" t="n">
        <v>28.12</v>
      </c>
      <c r="L65" s="3" t="n">
        <f aca="false">IF($K65&gt;0,TRUE())</f>
        <v>1</v>
      </c>
      <c r="M65" s="4" t="n">
        <f aca="false">M64+K65</f>
        <v>368.98</v>
      </c>
      <c r="N65" s="4" t="str">
        <f aca="false">VLOOKUP(C65, Sheet2!$A$2:$E$166,  5)</f>
        <v>YES</v>
      </c>
      <c r="O65" s="4" t="n">
        <f aca="false">IF(N65="YES", K65, 0)</f>
        <v>28.12</v>
      </c>
      <c r="P65" s="4" t="n">
        <f aca="false">P64+O65</f>
        <v>316.88</v>
      </c>
      <c r="Q65" s="3" t="b">
        <f aca="false">IF(O65=0, "N/A", IF(O65&gt;0,TRUE()))</f>
        <v>1</v>
      </c>
      <c r="R65" s="3" t="n">
        <f aca="false">AND(TIMEVALUE(B65)&gt;=TIME(8,0,0), TIMEVALUE(B65)&lt;=TIME(16,30,0))</f>
        <v>1</v>
      </c>
      <c r="S65" s="5" t="n">
        <f aca="false">IF(AND(Q65=1, R65=1), O65, 0)</f>
        <v>28.12</v>
      </c>
      <c r="T65" s="4" t="n">
        <f aca="false">T64+S65</f>
        <v>601.95</v>
      </c>
    </row>
    <row r="66" customFormat="false" ht="12.8" hidden="false" customHeight="false" outlineLevel="0" collapsed="false">
      <c r="A66" s="1" t="n">
        <v>46098</v>
      </c>
      <c r="B66" s="2" t="s">
        <v>109</v>
      </c>
      <c r="C66" s="1" t="n">
        <v>46098</v>
      </c>
      <c r="D66" s="2" t="s">
        <v>65</v>
      </c>
      <c r="E66" s="0" t="s">
        <v>10</v>
      </c>
      <c r="F66" s="0" t="s">
        <v>34</v>
      </c>
      <c r="G66" s="0" t="n">
        <v>23511</v>
      </c>
      <c r="H66" s="0" t="n">
        <v>23614</v>
      </c>
      <c r="I66" s="0" t="n">
        <v>103</v>
      </c>
      <c r="J66" s="0" t="n">
        <f aca="false"> HLOOKUP(E66, $E$2:$I$3, 2, 0)</f>
        <v>0.37</v>
      </c>
      <c r="K66" s="0" t="n">
        <v>41.2</v>
      </c>
      <c r="L66" s="3" t="n">
        <f aca="false">IF($K66&gt;0,TRUE())</f>
        <v>1</v>
      </c>
      <c r="M66" s="4" t="n">
        <f aca="false">M65+K66</f>
        <v>410.18</v>
      </c>
      <c r="N66" s="4" t="str">
        <f aca="false">VLOOKUP(C66, Sheet2!$A$2:$E$166,  5)</f>
        <v>YES</v>
      </c>
      <c r="O66" s="4" t="n">
        <f aca="false">IF(N66="YES", K66, 0)</f>
        <v>41.2</v>
      </c>
      <c r="P66" s="4" t="n">
        <f aca="false">P65+O66</f>
        <v>358.08</v>
      </c>
      <c r="Q66" s="3" t="b">
        <f aca="false">IF(O66=0, "N/A", IF(O66&gt;0,TRUE()))</f>
        <v>1</v>
      </c>
      <c r="R66" s="3" t="n">
        <f aca="false">AND(TIMEVALUE(B66)&gt;=TIME(8,0,0), TIMEVALUE(B66)&lt;=TIME(16,30,0))</f>
        <v>0</v>
      </c>
      <c r="S66" s="5" t="n">
        <f aca="false">IF(AND(Q66=1, R66=1), O66, 0)</f>
        <v>0</v>
      </c>
      <c r="T66" s="4" t="n">
        <f aca="false">T65+S66</f>
        <v>601.95</v>
      </c>
    </row>
    <row r="67" customFormat="false" ht="12.8" hidden="false" customHeight="false" outlineLevel="0" collapsed="false">
      <c r="A67" s="1" t="n">
        <v>46098</v>
      </c>
      <c r="B67" s="2" t="s">
        <v>110</v>
      </c>
      <c r="C67" s="1" t="n">
        <v>46098</v>
      </c>
      <c r="D67" s="2" t="s">
        <v>67</v>
      </c>
      <c r="E67" s="0" t="s">
        <v>4</v>
      </c>
      <c r="F67" s="0" t="s">
        <v>62</v>
      </c>
      <c r="G67" s="0" t="n">
        <v>7976.5</v>
      </c>
      <c r="H67" s="0" t="n">
        <v>8014</v>
      </c>
      <c r="I67" s="0" t="n">
        <v>-37.5</v>
      </c>
      <c r="J67" s="0" t="n">
        <f aca="false"> HLOOKUP(E67, $E$2:$I$3, 2, 0)</f>
        <v>1</v>
      </c>
      <c r="K67" s="0" t="n">
        <v>-41.25</v>
      </c>
      <c r="L67" s="3" t="n">
        <f aca="false">IF($K67&gt;0,TRUE())</f>
        <v>0</v>
      </c>
      <c r="M67" s="4" t="n">
        <f aca="false">M66+K67</f>
        <v>368.93</v>
      </c>
      <c r="N67" s="4" t="str">
        <f aca="false">VLOOKUP(C67, Sheet2!$A$2:$E$166,  5)</f>
        <v>YES</v>
      </c>
      <c r="O67" s="4" t="n">
        <f aca="false">IF(N67="YES", K67, 0)</f>
        <v>-41.25</v>
      </c>
      <c r="P67" s="4" t="n">
        <f aca="false">P66+O67</f>
        <v>316.83</v>
      </c>
      <c r="Q67" s="3" t="b">
        <f aca="false">IF(O67=0, "N/A", IF(O67&gt;0,TRUE()))</f>
        <v>0</v>
      </c>
      <c r="R67" s="3" t="n">
        <f aca="false">AND(TIMEVALUE(B67)&gt;=TIME(8,0,0), TIMEVALUE(B67)&lt;=TIME(16,30,0))</f>
        <v>0</v>
      </c>
      <c r="S67" s="5" t="n">
        <f aca="false">IF(AND(Q67=1, R67=1), O67, 0)</f>
        <v>0</v>
      </c>
      <c r="T67" s="4" t="n">
        <f aca="false">T66+S67</f>
        <v>601.95</v>
      </c>
    </row>
    <row r="68" customFormat="false" ht="12.8" hidden="false" customHeight="false" outlineLevel="0" collapsed="false">
      <c r="A68" s="1" t="n">
        <v>46099</v>
      </c>
      <c r="B68" s="2" t="s">
        <v>69</v>
      </c>
      <c r="C68" s="1" t="n">
        <v>46099</v>
      </c>
      <c r="D68" s="2" t="s">
        <v>111</v>
      </c>
      <c r="E68" s="0" t="s">
        <v>4</v>
      </c>
      <c r="F68" s="0" t="s">
        <v>62</v>
      </c>
      <c r="G68" s="0" t="n">
        <v>7971</v>
      </c>
      <c r="H68" s="0" t="n">
        <v>7916.5</v>
      </c>
      <c r="I68" s="0" t="n">
        <v>54.5</v>
      </c>
      <c r="J68" s="0" t="n">
        <f aca="false"> HLOOKUP(E68, $E$2:$I$3, 2, 0)</f>
        <v>1</v>
      </c>
      <c r="K68" s="0" t="n">
        <v>54.5</v>
      </c>
      <c r="L68" s="3" t="n">
        <f aca="false">IF($K68&gt;0,TRUE())</f>
        <v>1</v>
      </c>
      <c r="M68" s="4" t="n">
        <f aca="false">M67+K68</f>
        <v>423.43</v>
      </c>
      <c r="N68" s="4" t="str">
        <f aca="false">VLOOKUP(C68, Sheet2!$A$2:$E$166,  5)</f>
        <v>YES</v>
      </c>
      <c r="O68" s="4" t="n">
        <f aca="false">IF(N68="YES", K68, 0)</f>
        <v>54.5</v>
      </c>
      <c r="P68" s="4" t="n">
        <f aca="false">P67+O68</f>
        <v>371.33</v>
      </c>
      <c r="Q68" s="3" t="b">
        <f aca="false">IF(O68=0, "N/A", IF(O68&gt;0,TRUE()))</f>
        <v>1</v>
      </c>
      <c r="R68" s="3" t="n">
        <f aca="false">AND(TIMEVALUE(B68)&gt;=TIME(8,0,0), TIMEVALUE(B68)&lt;=TIME(16,30,0))</f>
        <v>1</v>
      </c>
      <c r="S68" s="5" t="n">
        <f aca="false">IF(AND(Q68=1, R68=1), O68, 0)</f>
        <v>54.5</v>
      </c>
      <c r="T68" s="4" t="n">
        <f aca="false">T67+S68</f>
        <v>656.45</v>
      </c>
    </row>
    <row r="69" customFormat="false" ht="12.8" hidden="false" customHeight="false" outlineLevel="0" collapsed="false">
      <c r="A69" s="1" t="n">
        <v>46104</v>
      </c>
      <c r="B69" s="2" t="s">
        <v>55</v>
      </c>
      <c r="C69" s="1" t="n">
        <v>46104</v>
      </c>
      <c r="D69" s="2" t="s">
        <v>42</v>
      </c>
      <c r="E69" s="0" t="s">
        <v>10</v>
      </c>
      <c r="F69" s="0" t="s">
        <v>62</v>
      </c>
      <c r="G69" s="0" t="n">
        <v>23184</v>
      </c>
      <c r="H69" s="0" t="n">
        <v>23265</v>
      </c>
      <c r="I69" s="0" t="n">
        <v>-81</v>
      </c>
      <c r="J69" s="0" t="n">
        <f aca="false"> HLOOKUP(E69, $E$2:$I$3, 2, 0)</f>
        <v>0.37</v>
      </c>
      <c r="K69" s="0" t="n">
        <v>-29.97</v>
      </c>
      <c r="L69" s="3" t="n">
        <f aca="false">IF($K69&gt;0,TRUE())</f>
        <v>0</v>
      </c>
      <c r="M69" s="4" t="n">
        <f aca="false">M68+K69</f>
        <v>393.46</v>
      </c>
      <c r="N69" s="4" t="str">
        <f aca="false">VLOOKUP(C69, Sheet2!$A$2:$E$166,  5)</f>
        <v>YES</v>
      </c>
      <c r="O69" s="4" t="n">
        <f aca="false">IF(N69="YES", K69, 0)</f>
        <v>-29.97</v>
      </c>
      <c r="P69" s="4" t="n">
        <f aca="false">P68+O69</f>
        <v>341.36</v>
      </c>
      <c r="Q69" s="3" t="b">
        <f aca="false">IF(O69=0, "N/A", IF(O69&gt;0,TRUE()))</f>
        <v>0</v>
      </c>
      <c r="R69" s="3" t="n">
        <f aca="false">AND(TIMEVALUE(B69)&gt;=TIME(8,0,0), TIMEVALUE(B69)&lt;=TIME(16,30,0))</f>
        <v>1</v>
      </c>
      <c r="S69" s="5" t="n">
        <f aca="false">IF(AND(Q69=1, R69=1), O69, 0)</f>
        <v>0</v>
      </c>
      <c r="T69" s="4" t="n">
        <f aca="false">T68+S69</f>
        <v>656.45</v>
      </c>
    </row>
    <row r="70" customFormat="false" ht="12.8" hidden="false" customHeight="false" outlineLevel="0" collapsed="false">
      <c r="A70" s="1" t="n">
        <v>46106</v>
      </c>
      <c r="B70" s="2" t="s">
        <v>63</v>
      </c>
      <c r="C70" s="1" t="n">
        <v>46106</v>
      </c>
      <c r="D70" s="2" t="s">
        <v>112</v>
      </c>
      <c r="E70" s="0" t="s">
        <v>10</v>
      </c>
      <c r="F70" s="0" t="s">
        <v>62</v>
      </c>
      <c r="G70" s="0" t="n">
        <v>23149</v>
      </c>
      <c r="H70" s="0" t="n">
        <v>23130</v>
      </c>
      <c r="I70" s="0" t="n">
        <v>19</v>
      </c>
      <c r="J70" s="0" t="n">
        <f aca="false"> HLOOKUP(E70, $E$2:$I$3, 2, 0)</f>
        <v>0.37</v>
      </c>
      <c r="K70" s="0" t="n">
        <v>7.6</v>
      </c>
      <c r="L70" s="3" t="n">
        <f aca="false">IF($K70&gt;0,TRUE())</f>
        <v>1</v>
      </c>
      <c r="M70" s="4" t="n">
        <f aca="false">M69+K70</f>
        <v>401.06</v>
      </c>
      <c r="N70" s="4" t="str">
        <f aca="false">VLOOKUP(C70, Sheet2!$A$2:$E$166,  5)</f>
        <v>YES</v>
      </c>
      <c r="O70" s="4" t="n">
        <f aca="false">IF(N70="YES", K70, 0)</f>
        <v>7.6</v>
      </c>
      <c r="P70" s="4" t="n">
        <f aca="false">P69+O70</f>
        <v>348.96</v>
      </c>
      <c r="Q70" s="3" t="b">
        <f aca="false">IF(O70=0, "N/A", IF(O70&gt;0,TRUE()))</f>
        <v>1</v>
      </c>
      <c r="R70" s="3" t="n">
        <f aca="false">AND(TIMEVALUE(B70)&gt;=TIME(8,0,0), TIMEVALUE(B70)&lt;=TIME(16,30,0))</f>
        <v>1</v>
      </c>
      <c r="S70" s="5" t="n">
        <f aca="false">IF(AND(Q70=1, R70=1), O70, 0)</f>
        <v>7.6</v>
      </c>
      <c r="T70" s="4" t="n">
        <f aca="false">T69+S70</f>
        <v>664.05</v>
      </c>
    </row>
    <row r="71" customFormat="false" ht="12.8" hidden="false" customHeight="false" outlineLevel="0" collapsed="false">
      <c r="A71" s="1" t="n">
        <v>46111</v>
      </c>
      <c r="B71" s="2" t="s">
        <v>113</v>
      </c>
      <c r="C71" s="1" t="n">
        <v>46111</v>
      </c>
      <c r="D71" s="2" t="s">
        <v>42</v>
      </c>
      <c r="E71" s="0" t="s">
        <v>9</v>
      </c>
      <c r="F71" s="0" t="s">
        <v>62</v>
      </c>
      <c r="G71" s="0" t="n">
        <v>10104.5</v>
      </c>
      <c r="H71" s="0" t="n">
        <v>10142</v>
      </c>
      <c r="I71" s="0" t="n">
        <v>-37.5</v>
      </c>
      <c r="J71" s="0" t="n">
        <f aca="false"> HLOOKUP(E71, $E$2:$I$3, 2, 0)</f>
        <v>0.8</v>
      </c>
      <c r="K71" s="0" t="n">
        <v>-30</v>
      </c>
      <c r="L71" s="3" t="n">
        <f aca="false">IF($K71&gt;0,TRUE())</f>
        <v>0</v>
      </c>
      <c r="M71" s="4" t="n">
        <f aca="false">M70+K71</f>
        <v>371.06</v>
      </c>
      <c r="N71" s="4" t="str">
        <f aca="false">VLOOKUP(C71, Sheet2!$A$2:$E$166,  5)</f>
        <v>YES</v>
      </c>
      <c r="O71" s="4" t="n">
        <f aca="false">IF(N71="YES", K71, 0)</f>
        <v>-30</v>
      </c>
      <c r="P71" s="4" t="n">
        <f aca="false">P70+O71</f>
        <v>318.96</v>
      </c>
      <c r="Q71" s="3" t="b">
        <f aca="false">IF(O71=0, "N/A", IF(O71&gt;0,TRUE()))</f>
        <v>0</v>
      </c>
      <c r="R71" s="3" t="n">
        <f aca="false">AND(TIMEVALUE(B71)&gt;=TIME(8,0,0), TIMEVALUE(B71)&lt;=TIME(16,30,0))</f>
        <v>1</v>
      </c>
      <c r="S71" s="5" t="n">
        <f aca="false">IF(AND(Q71=1, R71=1), O71, 0)</f>
        <v>0</v>
      </c>
      <c r="T71" s="4" t="n">
        <f aca="false">T70+S71</f>
        <v>664.05</v>
      </c>
    </row>
    <row r="72" customFormat="false" ht="12.8" hidden="false" customHeight="false" outlineLevel="0" collapsed="false">
      <c r="A72" s="1" t="n">
        <v>46111</v>
      </c>
      <c r="B72" s="2" t="s">
        <v>114</v>
      </c>
      <c r="C72" s="1" t="n">
        <v>46111</v>
      </c>
      <c r="D72" s="2" t="s">
        <v>115</v>
      </c>
      <c r="E72" s="0" t="s">
        <v>4</v>
      </c>
      <c r="F72" s="0" t="s">
        <v>62</v>
      </c>
      <c r="G72" s="0" t="n">
        <v>7757</v>
      </c>
      <c r="H72" s="0" t="n">
        <v>7791</v>
      </c>
      <c r="I72" s="0" t="n">
        <v>-34</v>
      </c>
      <c r="J72" s="0" t="n">
        <f aca="false"> HLOOKUP(E72, $E$2:$I$3, 2, 0)</f>
        <v>1</v>
      </c>
      <c r="K72" s="0" t="n">
        <v>-34</v>
      </c>
      <c r="L72" s="3" t="n">
        <f aca="false">IF($K72&gt;0,TRUE())</f>
        <v>0</v>
      </c>
      <c r="M72" s="4" t="n">
        <f aca="false">M71+K72</f>
        <v>337.06</v>
      </c>
      <c r="N72" s="4" t="str">
        <f aca="false">VLOOKUP(C72, Sheet2!$A$2:$E$166,  5)</f>
        <v>YES</v>
      </c>
      <c r="O72" s="4" t="n">
        <f aca="false">IF(N72="YES", K72, 0)</f>
        <v>-34</v>
      </c>
      <c r="P72" s="4" t="n">
        <f aca="false">P71+O72</f>
        <v>284.96</v>
      </c>
      <c r="Q72" s="3" t="b">
        <f aca="false">IF(O72=0, "N/A", IF(O72&gt;0,TRUE()))</f>
        <v>0</v>
      </c>
      <c r="R72" s="3" t="n">
        <f aca="false">AND(TIMEVALUE(B72)&gt;=TIME(8,0,0), TIMEVALUE(B72)&lt;=TIME(16,30,0))</f>
        <v>1</v>
      </c>
      <c r="S72" s="5" t="n">
        <f aca="false">IF(AND(Q72=1, R72=1), O72, 0)</f>
        <v>0</v>
      </c>
      <c r="T72" s="4" t="n">
        <f aca="false">T71+S72</f>
        <v>664.05</v>
      </c>
    </row>
    <row r="73" customFormat="false" ht="12.8" hidden="false" customHeight="false" outlineLevel="0" collapsed="false">
      <c r="A73" s="1" t="n">
        <v>46112</v>
      </c>
      <c r="B73" s="2" t="s">
        <v>56</v>
      </c>
      <c r="C73" s="1" t="n">
        <v>46112</v>
      </c>
      <c r="D73" s="2" t="s">
        <v>116</v>
      </c>
      <c r="E73" s="0" t="s">
        <v>11</v>
      </c>
      <c r="F73" s="0" t="s">
        <v>34</v>
      </c>
      <c r="G73" s="0" t="n">
        <v>24790</v>
      </c>
      <c r="H73" s="0" t="n">
        <v>24813</v>
      </c>
      <c r="I73" s="0" t="n">
        <v>23</v>
      </c>
      <c r="J73" s="0" t="n">
        <f aca="false"> HLOOKUP(E73, $E$2:$I$3, 2, 0)</f>
        <v>0.2</v>
      </c>
      <c r="K73" s="0" t="n">
        <v>4.6</v>
      </c>
      <c r="L73" s="3" t="n">
        <f aca="false">IF($K73&gt;0,TRUE())</f>
        <v>1</v>
      </c>
      <c r="M73" s="4" t="n">
        <f aca="false">M72+K73</f>
        <v>341.66</v>
      </c>
      <c r="N73" s="4" t="str">
        <f aca="false">VLOOKUP(C73, Sheet2!$A$2:$E$166,  5)</f>
        <v>NO</v>
      </c>
      <c r="O73" s="4" t="n">
        <f aca="false">IF(N73="YES", K73, 0)</f>
        <v>0</v>
      </c>
      <c r="P73" s="4" t="n">
        <f aca="false">P72+O73</f>
        <v>284.96</v>
      </c>
      <c r="Q73" s="5" t="str">
        <f aca="false">IF(O73=0, "N/A", IF(O73&gt;0,TRUE()))</f>
        <v>N/A</v>
      </c>
      <c r="R73" s="3" t="n">
        <f aca="false">AND(TIMEVALUE(B73)&gt;=TIME(8,0,0), TIMEVALUE(B73)&lt;=TIME(16,30,0))</f>
        <v>0</v>
      </c>
      <c r="S73" s="5" t="n">
        <f aca="false">IF(AND(Q73=1, R73=1), O73, 0)</f>
        <v>0</v>
      </c>
      <c r="T73" s="4" t="n">
        <f aca="false">T72+S73</f>
        <v>664.05</v>
      </c>
    </row>
    <row r="74" customFormat="false" ht="12.8" hidden="false" customHeight="false" outlineLevel="0" collapsed="false">
      <c r="A74" s="1" t="n">
        <v>46114</v>
      </c>
      <c r="B74" s="2" t="s">
        <v>117</v>
      </c>
      <c r="C74" s="1" t="n">
        <v>46114</v>
      </c>
      <c r="D74" s="2" t="s">
        <v>118</v>
      </c>
      <c r="E74" s="0" t="s">
        <v>9</v>
      </c>
      <c r="F74" s="0" t="s">
        <v>34</v>
      </c>
      <c r="G74" s="0" t="n">
        <v>10318</v>
      </c>
      <c r="H74" s="0" t="n">
        <v>10323.5</v>
      </c>
      <c r="I74" s="0" t="n">
        <v>5.5</v>
      </c>
      <c r="J74" s="0" t="n">
        <f aca="false"> HLOOKUP(E74, $E$2:$I$3, 2, 0)</f>
        <v>0.8</v>
      </c>
      <c r="K74" s="0" t="n">
        <v>4.84</v>
      </c>
      <c r="L74" s="3" t="n">
        <f aca="false">IF($K74&gt;0,TRUE())</f>
        <v>1</v>
      </c>
      <c r="M74" s="4" t="n">
        <f aca="false">M73+K74</f>
        <v>346.5</v>
      </c>
      <c r="N74" s="4" t="str">
        <f aca="false">VLOOKUP(C74, Sheet2!$A$2:$E$166,  5)</f>
        <v>NO</v>
      </c>
      <c r="O74" s="4" t="n">
        <f aca="false">IF(N74="YES", K74, 0)</f>
        <v>0</v>
      </c>
      <c r="P74" s="4" t="n">
        <f aca="false">P73+O74</f>
        <v>284.96</v>
      </c>
      <c r="Q74" s="5" t="str">
        <f aca="false">IF(O74=0, "N/A", IF(O74&gt;0,TRUE()))</f>
        <v>N/A</v>
      </c>
      <c r="R74" s="3" t="n">
        <f aca="false">AND(TIMEVALUE(B74)&gt;=TIME(8,0,0), TIMEVALUE(B74)&lt;=TIME(16,30,0))</f>
        <v>0</v>
      </c>
      <c r="S74" s="5" t="n">
        <f aca="false">IF(AND(Q74=1, R74=1), O74, 0)</f>
        <v>0</v>
      </c>
      <c r="T74" s="4" t="n">
        <f aca="false">T73+S74</f>
        <v>664.05</v>
      </c>
    </row>
    <row r="75" customFormat="false" ht="12.8" hidden="false" customHeight="false" outlineLevel="0" collapsed="false">
      <c r="A75" s="1" t="n">
        <v>46121</v>
      </c>
      <c r="B75" s="2" t="s">
        <v>51</v>
      </c>
      <c r="C75" s="1" t="n">
        <v>46121</v>
      </c>
      <c r="D75" s="2" t="s">
        <v>59</v>
      </c>
      <c r="E75" s="0" t="s">
        <v>10</v>
      </c>
      <c r="F75" s="0" t="s">
        <v>34</v>
      </c>
      <c r="G75" s="0" t="n">
        <v>24079</v>
      </c>
      <c r="H75" s="0" t="n">
        <v>24077</v>
      </c>
      <c r="I75" s="0" t="n">
        <v>-2</v>
      </c>
      <c r="J75" s="0" t="n">
        <f aca="false"> HLOOKUP(E75, $E$2:$I$3, 2, 0)</f>
        <v>0.37</v>
      </c>
      <c r="K75" s="0" t="n">
        <v>-0.74</v>
      </c>
      <c r="L75" s="3" t="n">
        <f aca="false">IF($K75&gt;0,TRUE())</f>
        <v>0</v>
      </c>
      <c r="M75" s="4" t="n">
        <f aca="false">M74+K75</f>
        <v>345.76</v>
      </c>
      <c r="N75" s="4" t="str">
        <f aca="false">VLOOKUP(C75, Sheet2!$A$2:$E$166,  5)</f>
        <v>NO</v>
      </c>
      <c r="O75" s="4" t="n">
        <f aca="false">IF(N75="YES", K75, 0)</f>
        <v>0</v>
      </c>
      <c r="P75" s="4" t="n">
        <f aca="false">P74+O75</f>
        <v>284.96</v>
      </c>
      <c r="Q75" s="5" t="str">
        <f aca="false">IF(O75=0, "N/A", IF(O75&gt;0,TRUE()))</f>
        <v>N/A</v>
      </c>
      <c r="R75" s="3" t="n">
        <f aca="false">AND(TIMEVALUE(B75)&gt;=TIME(8,0,0), TIMEVALUE(B75)&lt;=TIME(16,30,0))</f>
        <v>1</v>
      </c>
      <c r="S75" s="5" t="n">
        <f aca="false">IF(AND(Q75=1, R75=1), O75, 0)</f>
        <v>0</v>
      </c>
      <c r="T75" s="4" t="n">
        <f aca="false">T74+S75</f>
        <v>664.05</v>
      </c>
    </row>
    <row r="76" customFormat="false" ht="12.8" hidden="false" customHeight="false" outlineLevel="0" collapsed="false">
      <c r="A76" s="1" t="n">
        <v>46122</v>
      </c>
      <c r="B76" s="2" t="s">
        <v>91</v>
      </c>
      <c r="C76" s="1" t="n">
        <v>46122</v>
      </c>
      <c r="D76" s="2" t="s">
        <v>94</v>
      </c>
      <c r="E76" s="0" t="s">
        <v>10</v>
      </c>
      <c r="F76" s="0" t="s">
        <v>34</v>
      </c>
      <c r="G76" s="0" t="n">
        <v>24105</v>
      </c>
      <c r="H76" s="0" t="n">
        <v>24130</v>
      </c>
      <c r="I76" s="0" t="n">
        <v>25</v>
      </c>
      <c r="J76" s="0" t="n">
        <f aca="false"> HLOOKUP(E76, $E$2:$I$3, 2, 0)</f>
        <v>0.37</v>
      </c>
      <c r="K76" s="0" t="n">
        <v>9.25</v>
      </c>
      <c r="L76" s="3" t="n">
        <f aca="false">IF($K76&gt;0,TRUE())</f>
        <v>1</v>
      </c>
      <c r="M76" s="4" t="n">
        <f aca="false">M75+K76</f>
        <v>355.01</v>
      </c>
      <c r="N76" s="4" t="str">
        <f aca="false">VLOOKUP(C76, Sheet2!$A$2:$E$166,  5)</f>
        <v>YES</v>
      </c>
      <c r="O76" s="4" t="n">
        <f aca="false">IF(N76="YES", K76, 0)</f>
        <v>9.25</v>
      </c>
      <c r="P76" s="4" t="n">
        <f aca="false">P75+O76</f>
        <v>294.21</v>
      </c>
      <c r="Q76" s="3" t="b">
        <f aca="false">IF(O76=0, "N/A", IF(O76&gt;0,TRUE()))</f>
        <v>1</v>
      </c>
      <c r="R76" s="3" t="n">
        <f aca="false">AND(TIMEVALUE(B76)&gt;=TIME(8,0,0), TIMEVALUE(B76)&lt;=TIME(16,30,0))</f>
        <v>1</v>
      </c>
      <c r="S76" s="5" t="n">
        <f aca="false">IF(AND(Q76=1, R76=1), O76, 0)</f>
        <v>9.25</v>
      </c>
      <c r="T76" s="4" t="n">
        <f aca="false">T75+S76</f>
        <v>673.3</v>
      </c>
    </row>
    <row r="77" customFormat="false" ht="12.8" hidden="false" customHeight="false" outlineLevel="0" collapsed="false">
      <c r="A77" s="1" t="n">
        <v>46122</v>
      </c>
      <c r="B77" s="2" t="s">
        <v>119</v>
      </c>
      <c r="C77" s="1" t="n">
        <v>46122</v>
      </c>
      <c r="D77" s="2" t="s">
        <v>90</v>
      </c>
      <c r="E77" s="0" t="s">
        <v>10</v>
      </c>
      <c r="F77" s="0" t="s">
        <v>34</v>
      </c>
      <c r="G77" s="0" t="n">
        <v>23951</v>
      </c>
      <c r="H77" s="0" t="n">
        <v>23949</v>
      </c>
      <c r="I77" s="0" t="n">
        <v>-2</v>
      </c>
      <c r="J77" s="0" t="n">
        <f aca="false"> HLOOKUP(E77, $E$2:$I$3, 2, 0)</f>
        <v>0.37</v>
      </c>
      <c r="K77" s="0" t="n">
        <v>-0.74</v>
      </c>
      <c r="L77" s="3" t="n">
        <f aca="false">IF($K77&gt;0,TRUE())</f>
        <v>0</v>
      </c>
      <c r="M77" s="4" t="n">
        <f aca="false">M76+K77</f>
        <v>354.27</v>
      </c>
      <c r="N77" s="4" t="str">
        <f aca="false">VLOOKUP(C77, Sheet2!$A$2:$E$166,  5)</f>
        <v>YES</v>
      </c>
      <c r="O77" s="4" t="n">
        <f aca="false">IF(N77="YES", K77, 0)</f>
        <v>-0.74</v>
      </c>
      <c r="P77" s="4" t="n">
        <f aca="false">P76+O77</f>
        <v>293.47</v>
      </c>
      <c r="Q77" s="3" t="b">
        <f aca="false">IF(O77=0, "N/A", IF(O77&gt;0,TRUE()))</f>
        <v>0</v>
      </c>
      <c r="R77" s="3" t="n">
        <f aca="false">AND(TIMEVALUE(B77)&gt;=TIME(8,0,0), TIMEVALUE(B77)&lt;=TIME(16,30,0))</f>
        <v>1</v>
      </c>
      <c r="S77" s="5" t="n">
        <f aca="false">IF(AND(Q77=1, R77=1), O77, 0)</f>
        <v>0</v>
      </c>
      <c r="T77" s="4" t="n">
        <f aca="false">T76+S77</f>
        <v>673.3</v>
      </c>
    </row>
    <row r="78" customFormat="false" ht="12.8" hidden="false" customHeight="false" outlineLevel="0" collapsed="false">
      <c r="A78" s="1" t="n">
        <v>46125</v>
      </c>
      <c r="B78" s="2" t="s">
        <v>57</v>
      </c>
      <c r="C78" s="1" t="n">
        <v>46125</v>
      </c>
      <c r="D78" s="2" t="s">
        <v>91</v>
      </c>
      <c r="E78" s="0" t="s">
        <v>10</v>
      </c>
      <c r="F78" s="0" t="s">
        <v>34</v>
      </c>
      <c r="G78" s="0" t="n">
        <v>23708</v>
      </c>
      <c r="H78" s="0" t="n">
        <v>23883</v>
      </c>
      <c r="I78" s="0" t="n">
        <v>175</v>
      </c>
      <c r="J78" s="0" t="n">
        <f aca="false"> HLOOKUP(E78, $E$2:$I$3, 2, 0)</f>
        <v>0.37</v>
      </c>
      <c r="K78" s="0" t="n">
        <v>70</v>
      </c>
      <c r="L78" s="3" t="n">
        <f aca="false">IF($K78&gt;0,TRUE())</f>
        <v>1</v>
      </c>
      <c r="M78" s="4" t="n">
        <f aca="false">M77+K78</f>
        <v>424.27</v>
      </c>
      <c r="N78" s="4" t="str">
        <f aca="false">VLOOKUP(C78, Sheet2!$A$2:$E$166,  5)</f>
        <v>YES</v>
      </c>
      <c r="O78" s="4" t="n">
        <f aca="false">IF(N78="YES", K78, 0)</f>
        <v>70</v>
      </c>
      <c r="P78" s="4" t="n">
        <f aca="false">P77+O78</f>
        <v>363.47</v>
      </c>
      <c r="Q78" s="3" t="b">
        <f aca="false">IF(O78=0, "N/A", IF(O78&gt;0,TRUE()))</f>
        <v>1</v>
      </c>
      <c r="R78" s="3" t="n">
        <f aca="false">AND(TIMEVALUE(B78)&gt;=TIME(8,0,0), TIMEVALUE(B78)&lt;=TIME(16,30,0))</f>
        <v>0</v>
      </c>
      <c r="S78" s="5" t="n">
        <f aca="false">IF(AND(Q78=1, R78=1), O78, 0)</f>
        <v>0</v>
      </c>
      <c r="T78" s="4" t="n">
        <f aca="false">T77+S78</f>
        <v>673.3</v>
      </c>
    </row>
    <row r="79" customFormat="false" ht="12.8" hidden="false" customHeight="false" outlineLevel="0" collapsed="false">
      <c r="A79" s="1" t="n">
        <v>46127</v>
      </c>
      <c r="B79" s="2" t="s">
        <v>120</v>
      </c>
      <c r="C79" s="1" t="n">
        <v>46127</v>
      </c>
      <c r="D79" s="2" t="s">
        <v>91</v>
      </c>
      <c r="E79" s="0" t="s">
        <v>4</v>
      </c>
      <c r="F79" s="0" t="s">
        <v>34</v>
      </c>
      <c r="G79" s="0" t="n">
        <v>8275</v>
      </c>
      <c r="H79" s="0" t="n">
        <v>8277.7</v>
      </c>
      <c r="I79" s="0" t="n">
        <v>2.7</v>
      </c>
      <c r="J79" s="0" t="n">
        <f aca="false"> HLOOKUP(E79, $E$2:$I$3, 2, 0)</f>
        <v>1</v>
      </c>
      <c r="K79" s="0" t="n">
        <v>2.7</v>
      </c>
      <c r="L79" s="3" t="n">
        <f aca="false">IF($K79&gt;0,TRUE())</f>
        <v>1</v>
      </c>
      <c r="M79" s="4" t="n">
        <f aca="false">M78+K79</f>
        <v>426.97</v>
      </c>
      <c r="N79" s="4" t="str">
        <f aca="false">VLOOKUP(C79, Sheet2!$A$2:$E$166,  5)</f>
        <v>YES</v>
      </c>
      <c r="O79" s="4" t="n">
        <f aca="false">IF(N79="YES", K79, 0)</f>
        <v>2.7</v>
      </c>
      <c r="P79" s="4" t="n">
        <f aca="false">P78+O79</f>
        <v>366.17</v>
      </c>
      <c r="Q79" s="3" t="b">
        <f aca="false">IF(O79=0, "N/A", IF(O79&gt;0,TRUE()))</f>
        <v>1</v>
      </c>
      <c r="R79" s="3" t="n">
        <f aca="false">AND(TIMEVALUE(B79)&gt;=TIME(8,0,0), TIMEVALUE(B79)&lt;=TIME(16,30,0))</f>
        <v>1</v>
      </c>
      <c r="S79" s="5" t="n">
        <f aca="false">IF(AND(Q79=1, R79=1), O79, 0)</f>
        <v>2.7</v>
      </c>
      <c r="T79" s="4" t="n">
        <f aca="false">T78+S79</f>
        <v>676</v>
      </c>
    </row>
    <row r="80" customFormat="false" ht="12.8" hidden="false" customHeight="false" outlineLevel="0" collapsed="false">
      <c r="A80" s="1" t="n">
        <v>46127</v>
      </c>
      <c r="B80" s="2" t="s">
        <v>55</v>
      </c>
      <c r="C80" s="1" t="n">
        <v>46127</v>
      </c>
      <c r="D80" s="2" t="s">
        <v>121</v>
      </c>
      <c r="E80" s="0" t="s">
        <v>9</v>
      </c>
      <c r="F80" s="0" t="s">
        <v>34</v>
      </c>
      <c r="G80" s="0" t="n">
        <v>10591</v>
      </c>
      <c r="H80" s="0" t="n">
        <v>10561</v>
      </c>
      <c r="I80" s="0" t="n">
        <v>-30</v>
      </c>
      <c r="J80" s="0" t="n">
        <f aca="false"> HLOOKUP(E80, $E$2:$I$3, 2, 0)</f>
        <v>0.8</v>
      </c>
      <c r="K80" s="0" t="n">
        <v>-24</v>
      </c>
      <c r="L80" s="3" t="n">
        <f aca="false">IF($K80&gt;0,TRUE())</f>
        <v>0</v>
      </c>
      <c r="M80" s="4" t="n">
        <f aca="false">M79+K80</f>
        <v>402.97</v>
      </c>
      <c r="N80" s="4" t="str">
        <f aca="false">VLOOKUP(C80, Sheet2!$A$2:$E$166,  5)</f>
        <v>YES</v>
      </c>
      <c r="O80" s="4" t="n">
        <f aca="false">IF(N80="YES", K80, 0)</f>
        <v>-24</v>
      </c>
      <c r="P80" s="4" t="n">
        <f aca="false">P79+O80</f>
        <v>342.17</v>
      </c>
      <c r="Q80" s="3" t="b">
        <f aca="false">IF(O80=0, "N/A", IF(O80&gt;0,TRUE()))</f>
        <v>0</v>
      </c>
      <c r="R80" s="3" t="n">
        <f aca="false">AND(TIMEVALUE(B80)&gt;=TIME(8,0,0), TIMEVALUE(B80)&lt;=TIME(16,30,0))</f>
        <v>1</v>
      </c>
      <c r="S80" s="5" t="n">
        <f aca="false">IF(AND(Q80=1, R80=1), O80, 0)</f>
        <v>0</v>
      </c>
      <c r="T80" s="4" t="n">
        <f aca="false">T79+S80</f>
        <v>676</v>
      </c>
    </row>
    <row r="81" customFormat="false" ht="12.8" hidden="false" customHeight="false" outlineLevel="0" collapsed="false">
      <c r="A81" s="1" t="n">
        <v>46127</v>
      </c>
      <c r="B81" s="2" t="s">
        <v>69</v>
      </c>
      <c r="C81" s="1" t="n">
        <v>46127</v>
      </c>
      <c r="D81" s="2" t="s">
        <v>122</v>
      </c>
      <c r="E81" s="0" t="s">
        <v>9</v>
      </c>
      <c r="F81" s="0" t="s">
        <v>34</v>
      </c>
      <c r="G81" s="0" t="n">
        <v>10562.5</v>
      </c>
      <c r="H81" s="0" t="n">
        <v>10570.5</v>
      </c>
      <c r="I81" s="0" t="n">
        <v>8</v>
      </c>
      <c r="J81" s="0" t="n">
        <f aca="false"> HLOOKUP(E81, $E$2:$I$3, 2, 0)</f>
        <v>0.8</v>
      </c>
      <c r="K81" s="0" t="n">
        <v>6.4</v>
      </c>
      <c r="L81" s="3" t="n">
        <f aca="false">IF($K81&gt;0,TRUE())</f>
        <v>1</v>
      </c>
      <c r="M81" s="4" t="n">
        <f aca="false">M80+K81</f>
        <v>409.37</v>
      </c>
      <c r="N81" s="4" t="str">
        <f aca="false">VLOOKUP(C81, Sheet2!$A$2:$E$166,  5)</f>
        <v>YES</v>
      </c>
      <c r="O81" s="4" t="n">
        <f aca="false">IF(N81="YES", K81, 0)</f>
        <v>6.4</v>
      </c>
      <c r="P81" s="4" t="n">
        <f aca="false">P80+O81</f>
        <v>348.57</v>
      </c>
      <c r="Q81" s="3" t="b">
        <f aca="false">IF(O81=0, "N/A", IF(O81&gt;0,TRUE()))</f>
        <v>1</v>
      </c>
      <c r="R81" s="3" t="n">
        <f aca="false">AND(TIMEVALUE(B81)&gt;=TIME(8,0,0), TIMEVALUE(B81)&lt;=TIME(16,30,0))</f>
        <v>1</v>
      </c>
      <c r="S81" s="5" t="n">
        <f aca="false">IF(AND(Q81=1, R81=1), O81, 0)</f>
        <v>6.4</v>
      </c>
      <c r="T81" s="4" t="n">
        <f aca="false">T80+S81</f>
        <v>682.4</v>
      </c>
    </row>
    <row r="82" customFormat="false" ht="12.8" hidden="false" customHeight="false" outlineLevel="0" collapsed="false">
      <c r="A82" s="1" t="n">
        <v>46128</v>
      </c>
      <c r="B82" s="2" t="s">
        <v>95</v>
      </c>
      <c r="C82" s="1" t="n">
        <v>46128</v>
      </c>
      <c r="D82" s="2" t="s">
        <v>112</v>
      </c>
      <c r="E82" s="0" t="s">
        <v>10</v>
      </c>
      <c r="F82" s="0" t="s">
        <v>34</v>
      </c>
      <c r="G82" s="0" t="n">
        <v>24253</v>
      </c>
      <c r="H82" s="0" t="n">
        <v>24263</v>
      </c>
      <c r="I82" s="0" t="n">
        <v>10</v>
      </c>
      <c r="J82" s="0" t="n">
        <f aca="false"> HLOOKUP(E82, $E$2:$I$3, 2, 0)</f>
        <v>0.37</v>
      </c>
      <c r="K82" s="0" t="n">
        <v>4</v>
      </c>
      <c r="L82" s="3" t="n">
        <f aca="false">IF($K82&gt;0,TRUE())</f>
        <v>1</v>
      </c>
      <c r="M82" s="4" t="n">
        <f aca="false">M81+K82</f>
        <v>413.37</v>
      </c>
      <c r="N82" s="4" t="str">
        <f aca="false">VLOOKUP(C82, Sheet2!$A$2:$E$166,  5)</f>
        <v>YES</v>
      </c>
      <c r="O82" s="4" t="n">
        <f aca="false">IF(N82="YES", K82, 0)</f>
        <v>4</v>
      </c>
      <c r="P82" s="4" t="n">
        <f aca="false">P81+O82</f>
        <v>352.57</v>
      </c>
      <c r="Q82" s="3" t="b">
        <f aca="false">IF(O82=0, "N/A", IF(O82&gt;0,TRUE()))</f>
        <v>1</v>
      </c>
      <c r="R82" s="3" t="n">
        <f aca="false">AND(TIMEVALUE(B82)&gt;=TIME(8,0,0), TIMEVALUE(B82)&lt;=TIME(16,30,0))</f>
        <v>1</v>
      </c>
      <c r="S82" s="5" t="n">
        <f aca="false">IF(AND(Q82=1, R82=1), O82, 0)</f>
        <v>4</v>
      </c>
      <c r="T82" s="4" t="n">
        <f aca="false">T81+S82</f>
        <v>686.4</v>
      </c>
    </row>
    <row r="83" customFormat="false" ht="12.8" hidden="false" customHeight="false" outlineLevel="0" collapsed="false">
      <c r="A83" s="1" t="n">
        <v>46132</v>
      </c>
      <c r="B83" s="2" t="s">
        <v>123</v>
      </c>
      <c r="C83" s="1" t="n">
        <v>46132</v>
      </c>
      <c r="D83" s="2" t="s">
        <v>72</v>
      </c>
      <c r="E83" s="0" t="s">
        <v>4</v>
      </c>
      <c r="F83" s="0" t="s">
        <v>34</v>
      </c>
      <c r="G83" s="0" t="n">
        <v>8240</v>
      </c>
      <c r="H83" s="0" t="n">
        <v>8251</v>
      </c>
      <c r="I83" s="0" t="n">
        <v>11</v>
      </c>
      <c r="J83" s="0" t="n">
        <f aca="false"> HLOOKUP(E83, $E$2:$I$3, 2, 0)</f>
        <v>1</v>
      </c>
      <c r="K83" s="0" t="n">
        <v>11</v>
      </c>
      <c r="L83" s="3" t="n">
        <f aca="false">IF($K83&gt;0,TRUE())</f>
        <v>1</v>
      </c>
      <c r="M83" s="4" t="n">
        <f aca="false">M82+K83</f>
        <v>424.37</v>
      </c>
      <c r="N83" s="4" t="str">
        <f aca="false">VLOOKUP(C83, Sheet2!$A$2:$E$166,  5)</f>
        <v>YES</v>
      </c>
      <c r="O83" s="4" t="n">
        <f aca="false">IF(N83="YES", K83, 0)</f>
        <v>11</v>
      </c>
      <c r="P83" s="4" t="n">
        <f aca="false">P82+O83</f>
        <v>363.57</v>
      </c>
      <c r="Q83" s="3" t="b">
        <f aca="false">IF(O83=0, "N/A", IF(O83&gt;0,TRUE()))</f>
        <v>1</v>
      </c>
      <c r="R83" s="3" t="n">
        <f aca="false">AND(TIMEVALUE(B83)&gt;=TIME(8,0,0), TIMEVALUE(B83)&lt;=TIME(16,30,0))</f>
        <v>1</v>
      </c>
      <c r="S83" s="5" t="n">
        <f aca="false">IF(AND(Q83=1, R83=1), O83, 0)</f>
        <v>11</v>
      </c>
      <c r="T83" s="4" t="n">
        <f aca="false">T82+S83</f>
        <v>697.4</v>
      </c>
    </row>
    <row r="84" customFormat="false" ht="12.8" hidden="false" customHeight="false" outlineLevel="0" collapsed="false">
      <c r="A84" s="1" t="n">
        <v>46133</v>
      </c>
      <c r="B84" s="2" t="s">
        <v>70</v>
      </c>
      <c r="C84" s="1" t="n">
        <v>46133</v>
      </c>
      <c r="D84" s="2" t="s">
        <v>118</v>
      </c>
      <c r="E84" s="0" t="s">
        <v>10</v>
      </c>
      <c r="F84" s="0" t="s">
        <v>34</v>
      </c>
      <c r="G84" s="0" t="n">
        <v>24657</v>
      </c>
      <c r="H84" s="0" t="n">
        <v>24593</v>
      </c>
      <c r="I84" s="0" t="n">
        <v>-64</v>
      </c>
      <c r="J84" s="0" t="n">
        <f aca="false"> HLOOKUP(E84, $E$2:$I$3, 2, 0)</f>
        <v>0.37</v>
      </c>
      <c r="K84" s="0" t="n">
        <v>-25.6</v>
      </c>
      <c r="L84" s="3" t="n">
        <f aca="false">IF($K84&gt;0,TRUE())</f>
        <v>0</v>
      </c>
      <c r="M84" s="4" t="n">
        <f aca="false">M83+K84</f>
        <v>398.77</v>
      </c>
      <c r="N84" s="4" t="str">
        <f aca="false">VLOOKUP(C84, Sheet2!$A$2:$E$166,  5)</f>
        <v>NO</v>
      </c>
      <c r="O84" s="4" t="n">
        <f aca="false">IF(N84="YES", K84, 0)</f>
        <v>0</v>
      </c>
      <c r="P84" s="4" t="n">
        <f aca="false">P83+O84</f>
        <v>363.57</v>
      </c>
      <c r="Q84" s="5" t="str">
        <f aca="false">IF(O84=0, "N/A", IF(O84&gt;0,TRUE()))</f>
        <v>N/A</v>
      </c>
      <c r="R84" s="3" t="n">
        <f aca="false">AND(TIMEVALUE(B84)&gt;=TIME(8,0,0), TIMEVALUE(B84)&lt;=TIME(16,30,0))</f>
        <v>0</v>
      </c>
      <c r="S84" s="5" t="n">
        <f aca="false">IF(AND(Q84=1, R84=1), O84, 0)</f>
        <v>0</v>
      </c>
      <c r="T84" s="4" t="n">
        <f aca="false">T83+S84</f>
        <v>697.4</v>
      </c>
    </row>
    <row r="85" customFormat="false" ht="12.8" hidden="false" customHeight="false" outlineLevel="0" collapsed="false">
      <c r="A85" s="1" t="n">
        <v>46133</v>
      </c>
      <c r="B85" s="2" t="s">
        <v>37</v>
      </c>
      <c r="C85" s="1" t="n">
        <v>46133</v>
      </c>
      <c r="D85" s="2" t="s">
        <v>97</v>
      </c>
      <c r="E85" s="0" t="s">
        <v>10</v>
      </c>
      <c r="F85" s="0" t="s">
        <v>34</v>
      </c>
      <c r="G85" s="0" t="n">
        <v>24590</v>
      </c>
      <c r="H85" s="0" t="n">
        <v>24517</v>
      </c>
      <c r="I85" s="0" t="n">
        <v>-73</v>
      </c>
      <c r="J85" s="0" t="n">
        <f aca="false"> HLOOKUP(E85, $E$2:$I$3, 2, 0)</f>
        <v>0.37</v>
      </c>
      <c r="K85" s="0" t="n">
        <v>-27.01</v>
      </c>
      <c r="L85" s="3" t="n">
        <f aca="false">IF($K85&gt;0,TRUE())</f>
        <v>0</v>
      </c>
      <c r="M85" s="4" t="n">
        <f aca="false">M84+K85</f>
        <v>371.76</v>
      </c>
      <c r="N85" s="4" t="str">
        <f aca="false">VLOOKUP(C85, Sheet2!$A$2:$E$166,  5)</f>
        <v>NO</v>
      </c>
      <c r="O85" s="4" t="n">
        <f aca="false">IF(N85="YES", K85, 0)</f>
        <v>0</v>
      </c>
      <c r="P85" s="4" t="n">
        <f aca="false">P84+O85</f>
        <v>363.57</v>
      </c>
      <c r="Q85" s="5" t="str">
        <f aca="false">IF(O85=0, "N/A", IF(O85&gt;0,TRUE()))</f>
        <v>N/A</v>
      </c>
      <c r="R85" s="3" t="n">
        <f aca="false">AND(TIMEVALUE(B85)&gt;=TIME(8,0,0), TIMEVALUE(B85)&lt;=TIME(16,30,0))</f>
        <v>1</v>
      </c>
      <c r="S85" s="5" t="n">
        <f aca="false">IF(AND(Q85=1, R85=1), O85, 0)</f>
        <v>0</v>
      </c>
      <c r="T85" s="4" t="n">
        <f aca="false">T84+S85</f>
        <v>697.4</v>
      </c>
    </row>
    <row r="86" customFormat="false" ht="12.8" hidden="false" customHeight="false" outlineLevel="0" collapsed="false">
      <c r="A86" s="1" t="n">
        <v>46133</v>
      </c>
      <c r="B86" s="2" t="s">
        <v>124</v>
      </c>
      <c r="C86" s="1" t="n">
        <v>46133</v>
      </c>
      <c r="D86" s="2" t="s">
        <v>35</v>
      </c>
      <c r="E86" s="0" t="s">
        <v>10</v>
      </c>
      <c r="F86" s="0" t="s">
        <v>34</v>
      </c>
      <c r="G86" s="0" t="n">
        <v>24470</v>
      </c>
      <c r="H86" s="0" t="n">
        <v>24397</v>
      </c>
      <c r="I86" s="0" t="n">
        <v>-73</v>
      </c>
      <c r="J86" s="0" t="n">
        <f aca="false"> HLOOKUP(E86, $E$2:$I$3, 2, 0)</f>
        <v>0.37</v>
      </c>
      <c r="K86" s="0" t="n">
        <v>-27.01</v>
      </c>
      <c r="L86" s="3" t="n">
        <f aca="false">IF($K86&gt;0,TRUE())</f>
        <v>0</v>
      </c>
      <c r="M86" s="4" t="n">
        <f aca="false">M85+K86</f>
        <v>344.75</v>
      </c>
      <c r="N86" s="4" t="str">
        <f aca="false">VLOOKUP(C86, Sheet2!$A$2:$E$166,  5)</f>
        <v>NO</v>
      </c>
      <c r="O86" s="4" t="n">
        <f aca="false">IF(N86="YES", K86, 0)</f>
        <v>0</v>
      </c>
      <c r="P86" s="4" t="n">
        <f aca="false">P85+O86</f>
        <v>363.57</v>
      </c>
      <c r="Q86" s="5" t="str">
        <f aca="false">IF(O86=0, "N/A", IF(O86&gt;0,TRUE()))</f>
        <v>N/A</v>
      </c>
      <c r="R86" s="3" t="n">
        <f aca="false">AND(TIMEVALUE(B86)&gt;=TIME(8,0,0), TIMEVALUE(B86)&lt;=TIME(16,30,0))</f>
        <v>1</v>
      </c>
      <c r="S86" s="5" t="n">
        <f aca="false">IF(AND(Q86=1, R86=1), O86, 0)</f>
        <v>0</v>
      </c>
      <c r="T86" s="4" t="n">
        <f aca="false">T85+S86</f>
        <v>697.4</v>
      </c>
    </row>
    <row r="87" customFormat="false" ht="12.8" hidden="false" customHeight="false" outlineLevel="0" collapsed="false">
      <c r="A87" s="1" t="n">
        <v>46133</v>
      </c>
      <c r="B87" s="2" t="s">
        <v>89</v>
      </c>
      <c r="C87" s="1" t="n">
        <v>46133</v>
      </c>
      <c r="D87" s="2" t="s">
        <v>125</v>
      </c>
      <c r="E87" s="0" t="s">
        <v>4</v>
      </c>
      <c r="F87" s="0" t="s">
        <v>34</v>
      </c>
      <c r="G87" s="0" t="n">
        <v>8167</v>
      </c>
      <c r="H87" s="0" t="n">
        <v>8131</v>
      </c>
      <c r="I87" s="0" t="n">
        <v>-36</v>
      </c>
      <c r="J87" s="0" t="n">
        <f aca="false"> HLOOKUP(E87, $E$2:$I$3, 2, 0)</f>
        <v>1</v>
      </c>
      <c r="K87" s="0" t="n">
        <v>-36</v>
      </c>
      <c r="L87" s="3" t="n">
        <f aca="false">IF($K87&gt;0,TRUE())</f>
        <v>0</v>
      </c>
      <c r="M87" s="4" t="n">
        <f aca="false">M86+K87</f>
        <v>308.75</v>
      </c>
      <c r="N87" s="4" t="str">
        <f aca="false">VLOOKUP(C87, Sheet2!$A$2:$E$166,  5)</f>
        <v>NO</v>
      </c>
      <c r="O87" s="4" t="n">
        <f aca="false">IF(N87="YES", K87, 0)</f>
        <v>0</v>
      </c>
      <c r="P87" s="4" t="n">
        <f aca="false">P86+O87</f>
        <v>363.57</v>
      </c>
      <c r="Q87" s="5" t="str">
        <f aca="false">IF(O87=0, "N/A", IF(O87&gt;0,TRUE()))</f>
        <v>N/A</v>
      </c>
      <c r="R87" s="3" t="n">
        <f aca="false">AND(TIMEVALUE(B87)&gt;=TIME(8,0,0), TIMEVALUE(B87)&lt;=TIME(16,30,0))</f>
        <v>1</v>
      </c>
      <c r="S87" s="5" t="n">
        <f aca="false">IF(AND(Q87=1, R87=1), O87, 0)</f>
        <v>0</v>
      </c>
      <c r="T87" s="4" t="n">
        <f aca="false">T86+S87</f>
        <v>697.4</v>
      </c>
    </row>
    <row r="88" customFormat="false" ht="12.8" hidden="false" customHeight="false" outlineLevel="0" collapsed="false">
      <c r="A88" s="1" t="n">
        <v>46133</v>
      </c>
      <c r="B88" s="2" t="s">
        <v>126</v>
      </c>
      <c r="C88" s="1" t="n">
        <v>46133</v>
      </c>
      <c r="D88" s="2" t="s">
        <v>112</v>
      </c>
      <c r="E88" s="0" t="s">
        <v>4</v>
      </c>
      <c r="F88" s="0" t="s">
        <v>34</v>
      </c>
      <c r="G88" s="0" t="n">
        <v>8132</v>
      </c>
      <c r="H88" s="0" t="n">
        <v>8134</v>
      </c>
      <c r="I88" s="0" t="n">
        <v>2</v>
      </c>
      <c r="J88" s="0" t="n">
        <f aca="false"> HLOOKUP(E88, $E$2:$I$3, 2, 0)</f>
        <v>1</v>
      </c>
      <c r="K88" s="0" t="n">
        <v>2.2</v>
      </c>
      <c r="L88" s="3" t="n">
        <f aca="false">IF($K88&gt;0,TRUE())</f>
        <v>1</v>
      </c>
      <c r="M88" s="4" t="n">
        <f aca="false">M87+K88</f>
        <v>310.95</v>
      </c>
      <c r="N88" s="4" t="str">
        <f aca="false">VLOOKUP(C88, Sheet2!$A$2:$E$166,  5)</f>
        <v>NO</v>
      </c>
      <c r="O88" s="4" t="n">
        <f aca="false">IF(N88="YES", K88, 0)</f>
        <v>0</v>
      </c>
      <c r="P88" s="4" t="n">
        <f aca="false">P87+O88</f>
        <v>363.57</v>
      </c>
      <c r="Q88" s="5" t="str">
        <f aca="false">IF(O88=0, "N/A", IF(O88&gt;0,TRUE()))</f>
        <v>N/A</v>
      </c>
      <c r="R88" s="3" t="n">
        <f aca="false">AND(TIMEVALUE(B88)&gt;=TIME(8,0,0), TIMEVALUE(B88)&lt;=TIME(16,30,0))</f>
        <v>1</v>
      </c>
      <c r="S88" s="5" t="n">
        <f aca="false">IF(AND(Q88=1, R88=1), O88, 0)</f>
        <v>0</v>
      </c>
      <c r="T88" s="4" t="n">
        <f aca="false">T87+S88</f>
        <v>697.4</v>
      </c>
    </row>
    <row r="89" customFormat="false" ht="12.8" hidden="false" customHeight="false" outlineLevel="0" collapsed="false">
      <c r="A89" s="1" t="n">
        <v>46134</v>
      </c>
      <c r="B89" s="2" t="s">
        <v>85</v>
      </c>
      <c r="C89" s="1" t="n">
        <v>46134</v>
      </c>
      <c r="D89" s="2" t="s">
        <v>57</v>
      </c>
      <c r="E89" s="0" t="s">
        <v>10</v>
      </c>
      <c r="F89" s="0" t="s">
        <v>34</v>
      </c>
      <c r="G89" s="0" t="n">
        <v>24361</v>
      </c>
      <c r="H89" s="0" t="n">
        <v>24435</v>
      </c>
      <c r="I89" s="0" t="n">
        <v>74</v>
      </c>
      <c r="J89" s="0" t="n">
        <f aca="false"> HLOOKUP(E89, $E$2:$I$3, 2, 0)</f>
        <v>0.37</v>
      </c>
      <c r="K89" s="0" t="n">
        <v>29.6</v>
      </c>
      <c r="L89" s="3" t="n">
        <f aca="false">IF($K89&gt;0,TRUE())</f>
        <v>1</v>
      </c>
      <c r="M89" s="4" t="n">
        <f aca="false">M88+K89</f>
        <v>340.55</v>
      </c>
      <c r="N89" s="4" t="str">
        <f aca="false">VLOOKUP(C89, Sheet2!$A$2:$E$166,  5)</f>
        <v>NO</v>
      </c>
      <c r="O89" s="4" t="n">
        <f aca="false">IF(N89="YES", K89, 0)</f>
        <v>0</v>
      </c>
      <c r="P89" s="4" t="n">
        <f aca="false">P88+O89</f>
        <v>363.57</v>
      </c>
      <c r="Q89" s="5" t="str">
        <f aca="false">IF(O89=0, "N/A", IF(O89&gt;0,TRUE()))</f>
        <v>N/A</v>
      </c>
      <c r="R89" s="3" t="n">
        <f aca="false">AND(TIMEVALUE(B89)&gt;=TIME(8,0,0), TIMEVALUE(B89)&lt;=TIME(16,30,0))</f>
        <v>0</v>
      </c>
      <c r="S89" s="5" t="n">
        <f aca="false">IF(AND(Q89=1, R89=1), O89, 0)</f>
        <v>0</v>
      </c>
      <c r="T89" s="4" t="n">
        <f aca="false">T88+S89</f>
        <v>697.4</v>
      </c>
    </row>
    <row r="90" customFormat="false" ht="12.8" hidden="false" customHeight="false" outlineLevel="0" collapsed="false">
      <c r="A90" s="1" t="n">
        <v>46143</v>
      </c>
      <c r="B90" s="2" t="s">
        <v>94</v>
      </c>
      <c r="C90" s="1" t="n">
        <v>46143</v>
      </c>
      <c r="D90" s="2" t="s">
        <v>64</v>
      </c>
      <c r="E90" s="0" t="s">
        <v>10</v>
      </c>
      <c r="F90" s="0" t="s">
        <v>34</v>
      </c>
      <c r="G90" s="0" t="n">
        <v>24306</v>
      </c>
      <c r="H90" s="0" t="n">
        <v>24357</v>
      </c>
      <c r="I90" s="0" t="n">
        <v>51</v>
      </c>
      <c r="J90" s="0" t="n">
        <f aca="false"> HLOOKUP(E90, $E$2:$I$3, 2, 0)</f>
        <v>0.37</v>
      </c>
      <c r="K90" s="0" t="n">
        <v>18.87</v>
      </c>
      <c r="L90" s="3" t="n">
        <f aca="false">IF($K90&gt;0,TRUE())</f>
        <v>1</v>
      </c>
      <c r="M90" s="4" t="n">
        <f aca="false">M89+K90</f>
        <v>359.42</v>
      </c>
      <c r="N90" s="4" t="str">
        <f aca="false">VLOOKUP(C90, Sheet2!$A$2:$E$166,  5)</f>
        <v>NO</v>
      </c>
      <c r="O90" s="4" t="n">
        <f aca="false">IF(N90="YES", K90, 0)</f>
        <v>0</v>
      </c>
      <c r="P90" s="4" t="n">
        <f aca="false">P89+O90</f>
        <v>363.57</v>
      </c>
      <c r="Q90" s="5" t="str">
        <f aca="false">IF(O90=0, "N/A", IF(O90&gt;0,TRUE()))</f>
        <v>N/A</v>
      </c>
      <c r="R90" s="3" t="n">
        <f aca="false">AND(TIMEVALUE(B90)&gt;=TIME(8,0,0), TIMEVALUE(B90)&lt;=TIME(16,30,0))</f>
        <v>1</v>
      </c>
      <c r="S90" s="5" t="n">
        <f aca="false">IF(AND(Q90=1, R90=1), O90, 0)</f>
        <v>0</v>
      </c>
      <c r="T90" s="4" t="n">
        <f aca="false">T89+S90</f>
        <v>697.4</v>
      </c>
    </row>
    <row r="91" customFormat="false" ht="12.8" hidden="false" customHeight="false" outlineLevel="0" collapsed="false">
      <c r="A91" s="1" t="n">
        <v>46150</v>
      </c>
      <c r="B91" s="2" t="s">
        <v>86</v>
      </c>
      <c r="C91" s="1" t="n">
        <v>46150</v>
      </c>
      <c r="D91" s="2" t="s">
        <v>95</v>
      </c>
      <c r="E91" s="0" t="s">
        <v>10</v>
      </c>
      <c r="F91" s="0" t="s">
        <v>34</v>
      </c>
      <c r="G91" s="0" t="n">
        <v>24481.6</v>
      </c>
      <c r="H91" s="0" t="n">
        <v>24417.3</v>
      </c>
      <c r="I91" s="0" t="n">
        <v>-64.3</v>
      </c>
      <c r="J91" s="0" t="n">
        <f aca="false"> HLOOKUP(E91, $E$2:$I$3, 2, 0)</f>
        <v>0.37</v>
      </c>
      <c r="K91" s="0" t="n">
        <v>-23.79</v>
      </c>
      <c r="L91" s="3" t="n">
        <f aca="false">IF($K91&gt;0,TRUE())</f>
        <v>0</v>
      </c>
      <c r="M91" s="4" t="n">
        <f aca="false">M90+K91</f>
        <v>335.63</v>
      </c>
      <c r="N91" s="4" t="str">
        <f aca="false">VLOOKUP(C91, Sheet2!$A$2:$E$166,  5)</f>
        <v>NO</v>
      </c>
      <c r="O91" s="4" t="n">
        <f aca="false">IF(N91="YES", K91, 0)</f>
        <v>0</v>
      </c>
      <c r="P91" s="4" t="n">
        <f aca="false">P90+O91</f>
        <v>363.57</v>
      </c>
      <c r="Q91" s="5" t="str">
        <f aca="false">IF(O91=0, "N/A", IF(O91&gt;0,TRUE()))</f>
        <v>N/A</v>
      </c>
      <c r="R91" s="3" t="n">
        <f aca="false">AND(TIMEVALUE(B91)&gt;=TIME(8,0,0), TIMEVALUE(B91)&lt;=TIME(16,30,0))</f>
        <v>1</v>
      </c>
      <c r="S91" s="5" t="n">
        <f aca="false">IF(AND(Q91=1, R91=1), O91, 0)</f>
        <v>0</v>
      </c>
      <c r="T91" s="4" t="n">
        <f aca="false">T90+S91</f>
        <v>697.4</v>
      </c>
    </row>
    <row r="92" customFormat="false" ht="12.8" hidden="false" customHeight="false" outlineLevel="0" collapsed="false">
      <c r="A92" s="1" t="n">
        <v>46161</v>
      </c>
      <c r="B92" s="2" t="s">
        <v>127</v>
      </c>
      <c r="C92" s="1" t="n">
        <v>46161</v>
      </c>
      <c r="D92" s="2" t="s">
        <v>128</v>
      </c>
      <c r="E92" s="0" t="s">
        <v>10</v>
      </c>
      <c r="F92" s="0" t="s">
        <v>34</v>
      </c>
      <c r="G92" s="0" t="n">
        <v>24389.3</v>
      </c>
      <c r="H92" s="0" t="n">
        <v>24329.8</v>
      </c>
      <c r="I92" s="0" t="n">
        <v>-59.5</v>
      </c>
      <c r="J92" s="0" t="n">
        <f aca="false"> HLOOKUP(E92, $E$2:$I$3, 2, 0)</f>
        <v>0.37</v>
      </c>
      <c r="K92" s="0" t="n">
        <v>-22.02</v>
      </c>
      <c r="L92" s="3" t="n">
        <f aca="false">IF($K92&gt;0,TRUE())</f>
        <v>0</v>
      </c>
      <c r="M92" s="4" t="n">
        <f aca="false">M91+K92</f>
        <v>313.61</v>
      </c>
      <c r="N92" s="4" t="str">
        <f aca="false">VLOOKUP(C92, Sheet2!$A$2:$E$166,  5)</f>
        <v>NO</v>
      </c>
      <c r="O92" s="4" t="n">
        <f aca="false">IF(N92="YES", K92, 0)</f>
        <v>0</v>
      </c>
      <c r="P92" s="4" t="n">
        <f aca="false">P91+O92</f>
        <v>363.57</v>
      </c>
      <c r="Q92" s="5" t="str">
        <f aca="false">IF(O92=0, "N/A", IF(O92&gt;0,TRUE()))</f>
        <v>N/A</v>
      </c>
      <c r="R92" s="3" t="n">
        <f aca="false">AND(TIMEVALUE(B92)&gt;=TIME(8,0,0), TIMEVALUE(B92)&lt;=TIME(16,30,0))</f>
        <v>0</v>
      </c>
      <c r="S92" s="5" t="n">
        <f aca="false">IF(AND(Q92=1, R92=1), O92, 0)</f>
        <v>0</v>
      </c>
      <c r="T92" s="4" t="n">
        <f aca="false">T91+S92</f>
        <v>697.4</v>
      </c>
    </row>
    <row r="93" customFormat="false" ht="12.8" hidden="false" customHeight="false" outlineLevel="0" collapsed="false">
      <c r="A93" s="1" t="n">
        <v>46162</v>
      </c>
      <c r="B93" s="2" t="s">
        <v>70</v>
      </c>
      <c r="C93" s="1" t="n">
        <v>46162</v>
      </c>
      <c r="D93" s="2" t="s">
        <v>113</v>
      </c>
      <c r="E93" s="0" t="s">
        <v>4</v>
      </c>
      <c r="F93" s="0" t="s">
        <v>62</v>
      </c>
      <c r="G93" s="0" t="n">
        <v>7957.9</v>
      </c>
      <c r="H93" s="0" t="n">
        <v>7974.7</v>
      </c>
      <c r="I93" s="0" t="n">
        <v>-16.8</v>
      </c>
      <c r="J93" s="0" t="n">
        <f aca="false"> HLOOKUP(E93, $E$2:$I$3, 2, 0)</f>
        <v>1</v>
      </c>
      <c r="K93" s="0" t="n">
        <v>-18.48</v>
      </c>
      <c r="L93" s="3" t="n">
        <f aca="false">IF($K93&gt;0,TRUE())</f>
        <v>0</v>
      </c>
      <c r="M93" s="4" t="n">
        <f aca="false">M92+K93</f>
        <v>295.13</v>
      </c>
      <c r="N93" s="4" t="str">
        <f aca="false">VLOOKUP(C93, Sheet2!$A$2:$E$166,  5)</f>
        <v>NO</v>
      </c>
      <c r="O93" s="4" t="n">
        <f aca="false">IF(N93="YES", K93, 0)</f>
        <v>0</v>
      </c>
      <c r="P93" s="4" t="n">
        <f aca="false">P92+O93</f>
        <v>363.57</v>
      </c>
      <c r="Q93" s="5" t="str">
        <f aca="false">IF(O93=0, "N/A", IF(O93&gt;0,TRUE()))</f>
        <v>N/A</v>
      </c>
      <c r="R93" s="3" t="n">
        <f aca="false">AND(TIMEVALUE(B93)&gt;=TIME(8,0,0), TIMEVALUE(B93)&lt;=TIME(16,30,0))</f>
        <v>0</v>
      </c>
      <c r="S93" s="5" t="n">
        <f aca="false">IF(AND(Q93=1, R93=1), O93, 0)</f>
        <v>0</v>
      </c>
      <c r="T93" s="4" t="n">
        <f aca="false">T92+S93</f>
        <v>697.4</v>
      </c>
    </row>
    <row r="94" customFormat="false" ht="12.8" hidden="false" customHeight="false" outlineLevel="0" collapsed="false">
      <c r="A94" s="1" t="n">
        <v>46163</v>
      </c>
      <c r="B94" s="2" t="s">
        <v>71</v>
      </c>
      <c r="C94" s="1" t="n">
        <v>46163</v>
      </c>
      <c r="D94" s="2" t="s">
        <v>94</v>
      </c>
      <c r="E94" s="0" t="s">
        <v>4</v>
      </c>
      <c r="F94" s="0" t="s">
        <v>34</v>
      </c>
      <c r="G94" s="0" t="n">
        <v>8109.9</v>
      </c>
      <c r="H94" s="0" t="n">
        <v>8123.1</v>
      </c>
      <c r="I94" s="0" t="n">
        <v>13.2</v>
      </c>
      <c r="J94" s="0" t="n">
        <f aca="false"> HLOOKUP(E94, $E$2:$I$3, 2, 0)</f>
        <v>1</v>
      </c>
      <c r="K94" s="0" t="n">
        <v>13.2</v>
      </c>
      <c r="L94" s="3" t="n">
        <f aca="false">IF($K94&gt;0,TRUE())</f>
        <v>1</v>
      </c>
      <c r="M94" s="4" t="n">
        <f aca="false">M93+K94</f>
        <v>308.33</v>
      </c>
      <c r="N94" s="4" t="str">
        <f aca="false">VLOOKUP(C94, Sheet2!$A$2:$E$166,  5)</f>
        <v>NO</v>
      </c>
      <c r="O94" s="4" t="n">
        <f aca="false">IF(N94="YES", K94, 0)</f>
        <v>0</v>
      </c>
      <c r="P94" s="4" t="n">
        <f aca="false">P93+O94</f>
        <v>363.57</v>
      </c>
      <c r="Q94" s="5" t="str">
        <f aca="false">IF(O94=0, "N/A", IF(O94&gt;0,TRUE()))</f>
        <v>N/A</v>
      </c>
      <c r="R94" s="3" t="n">
        <f aca="false">AND(TIMEVALUE(B94)&gt;=TIME(8,0,0), TIMEVALUE(B94)&lt;=TIME(16,30,0))</f>
        <v>1</v>
      </c>
      <c r="S94" s="5" t="n">
        <f aca="false">IF(AND(Q94=1, R94=1), O94, 0)</f>
        <v>0</v>
      </c>
      <c r="T94" s="4" t="n">
        <f aca="false">T93+S94</f>
        <v>697.4</v>
      </c>
    </row>
    <row r="95" customFormat="false" ht="12.8" hidden="false" customHeight="false" outlineLevel="0" collapsed="false">
      <c r="A95" s="1" t="n">
        <v>46163</v>
      </c>
      <c r="B95" s="2" t="s">
        <v>125</v>
      </c>
      <c r="C95" s="1" t="n">
        <v>46163</v>
      </c>
      <c r="D95" s="2" t="s">
        <v>129</v>
      </c>
      <c r="E95" s="0" t="s">
        <v>10</v>
      </c>
      <c r="F95" s="0" t="s">
        <v>34</v>
      </c>
      <c r="G95" s="0" t="n">
        <v>24603.1</v>
      </c>
      <c r="H95" s="0" t="n">
        <v>24549.5</v>
      </c>
      <c r="I95" s="0" t="n">
        <v>-53.6</v>
      </c>
      <c r="J95" s="0" t="n">
        <f aca="false"> HLOOKUP(E95, $E$2:$I$3, 2, 0)</f>
        <v>0.37</v>
      </c>
      <c r="K95" s="0" t="n">
        <v>-21.44</v>
      </c>
      <c r="L95" s="3" t="n">
        <f aca="false">IF($K95&gt;0,TRUE())</f>
        <v>0</v>
      </c>
      <c r="M95" s="4" t="n">
        <f aca="false">M94+K95</f>
        <v>286.89</v>
      </c>
      <c r="N95" s="4" t="str">
        <f aca="false">VLOOKUP(C95, Sheet2!$A$2:$E$166,  5)</f>
        <v>NO</v>
      </c>
      <c r="O95" s="4" t="n">
        <f aca="false">IF(N95="YES", K95, 0)</f>
        <v>0</v>
      </c>
      <c r="P95" s="4" t="n">
        <f aca="false">P94+O95</f>
        <v>363.57</v>
      </c>
      <c r="Q95" s="5" t="str">
        <f aca="false">IF(O95=0, "N/A", IF(O95&gt;0,TRUE()))</f>
        <v>N/A</v>
      </c>
      <c r="R95" s="3" t="n">
        <f aca="false">AND(TIMEVALUE(B95)&gt;=TIME(8,0,0), TIMEVALUE(B95)&lt;=TIME(16,30,0))</f>
        <v>1</v>
      </c>
      <c r="S95" s="5" t="n">
        <f aca="false">IF(AND(Q95=1, R95=1), O95, 0)</f>
        <v>0</v>
      </c>
      <c r="T95" s="4" t="n">
        <f aca="false">T94+S95</f>
        <v>697.4</v>
      </c>
    </row>
    <row r="96" customFormat="false" ht="12.8" hidden="false" customHeight="false" outlineLevel="0" collapsed="false">
      <c r="A96" s="1" t="n">
        <v>46163</v>
      </c>
      <c r="B96" s="2" t="s">
        <v>130</v>
      </c>
      <c r="C96" s="1" t="n">
        <v>46163</v>
      </c>
      <c r="D96" s="2" t="s">
        <v>131</v>
      </c>
      <c r="E96" s="0" t="s">
        <v>10</v>
      </c>
      <c r="F96" s="0" t="s">
        <v>34</v>
      </c>
      <c r="G96" s="0" t="n">
        <v>24582.3</v>
      </c>
      <c r="H96" s="0" t="n">
        <v>24660.8</v>
      </c>
      <c r="I96" s="0" t="n">
        <v>78.5</v>
      </c>
      <c r="J96" s="0" t="n">
        <f aca="false"> HLOOKUP(E96, $E$2:$I$3, 2, 0)</f>
        <v>0.37</v>
      </c>
      <c r="K96" s="0" t="n">
        <v>29.04</v>
      </c>
      <c r="L96" s="3" t="n">
        <f aca="false">IF($K96&gt;0,TRUE())</f>
        <v>1</v>
      </c>
      <c r="M96" s="4" t="n">
        <f aca="false">M95+K96</f>
        <v>315.93</v>
      </c>
      <c r="N96" s="4" t="str">
        <f aca="false">VLOOKUP(C96, Sheet2!$A$2:$E$166,  5)</f>
        <v>NO</v>
      </c>
      <c r="O96" s="4" t="n">
        <f aca="false">IF(N96="YES", K96, 0)</f>
        <v>0</v>
      </c>
      <c r="P96" s="4" t="n">
        <f aca="false">P95+O96</f>
        <v>363.57</v>
      </c>
      <c r="Q96" s="5" t="str">
        <f aca="false">IF(O96=0, "N/A", IF(O96&gt;0,TRUE()))</f>
        <v>N/A</v>
      </c>
      <c r="R96" s="3" t="n">
        <f aca="false">AND(TIMEVALUE(B96)&gt;=TIME(8,0,0), TIMEVALUE(B96)&lt;=TIME(16,30,0))</f>
        <v>1</v>
      </c>
      <c r="S96" s="5" t="n">
        <f aca="false">IF(AND(Q96=1, R96=1), O96, 0)</f>
        <v>0</v>
      </c>
      <c r="T96" s="4" t="n">
        <f aca="false">T95+S96</f>
        <v>697.4</v>
      </c>
    </row>
    <row r="97" customFormat="false" ht="12.8" hidden="false" customHeight="false" outlineLevel="0" collapsed="false">
      <c r="A97" s="1" t="n">
        <v>46164</v>
      </c>
      <c r="B97" s="2" t="s">
        <v>61</v>
      </c>
      <c r="C97" s="1" t="n">
        <v>46164</v>
      </c>
      <c r="D97" s="2" t="s">
        <v>132</v>
      </c>
      <c r="E97" s="0" t="s">
        <v>10</v>
      </c>
      <c r="F97" s="0" t="s">
        <v>34</v>
      </c>
      <c r="G97" s="0" t="n">
        <v>24725.2</v>
      </c>
      <c r="H97" s="0" t="n">
        <v>24792.4</v>
      </c>
      <c r="I97" s="0" t="n">
        <v>67.2</v>
      </c>
      <c r="J97" s="0" t="n">
        <f aca="false"> HLOOKUP(E97, $E$2:$I$3, 2, 0)</f>
        <v>0.37</v>
      </c>
      <c r="K97" s="0" t="n">
        <v>24.86</v>
      </c>
      <c r="L97" s="3" t="n">
        <f aca="false">IF($K97&gt;0,TRUE())</f>
        <v>1</v>
      </c>
      <c r="M97" s="4" t="n">
        <f aca="false">M96+K97</f>
        <v>340.79</v>
      </c>
      <c r="N97" s="4" t="str">
        <f aca="false">VLOOKUP(C97, Sheet2!$A$2:$E$166,  5)</f>
        <v>NO</v>
      </c>
      <c r="O97" s="4" t="n">
        <f aca="false">IF(N97="YES", K97, 0)</f>
        <v>0</v>
      </c>
      <c r="P97" s="4" t="n">
        <f aca="false">P96+O97</f>
        <v>363.57</v>
      </c>
      <c r="Q97" s="5" t="str">
        <f aca="false">IF(O97=0, "N/A", IF(O97&gt;0,TRUE()))</f>
        <v>N/A</v>
      </c>
      <c r="R97" s="3" t="n">
        <f aca="false">AND(TIMEVALUE(B97)&gt;=TIME(8,0,0), TIMEVALUE(B97)&lt;=TIME(16,30,0))</f>
        <v>1</v>
      </c>
      <c r="S97" s="5" t="n">
        <f aca="false">IF(AND(Q97=1, R97=1), O97, 0)</f>
        <v>0</v>
      </c>
      <c r="T97" s="4" t="n">
        <f aca="false">T96+S97</f>
        <v>697.4</v>
      </c>
    </row>
    <row r="98" customFormat="false" ht="12.8" hidden="false" customHeight="false" outlineLevel="0" collapsed="false">
      <c r="A98" s="1" t="n">
        <v>46164</v>
      </c>
      <c r="B98" s="2" t="s">
        <v>95</v>
      </c>
      <c r="C98" s="1" t="n">
        <v>46164</v>
      </c>
      <c r="D98" s="2" t="s">
        <v>133</v>
      </c>
      <c r="E98" s="0" t="s">
        <v>4</v>
      </c>
      <c r="F98" s="0" t="s">
        <v>34</v>
      </c>
      <c r="G98" s="0" t="n">
        <v>8121.5</v>
      </c>
      <c r="H98" s="0" t="n">
        <v>8140.8</v>
      </c>
      <c r="I98" s="0" t="n">
        <v>19.3</v>
      </c>
      <c r="J98" s="0" t="n">
        <f aca="false"> HLOOKUP(E98, $E$2:$I$3, 2, 0)</f>
        <v>1</v>
      </c>
      <c r="K98" s="0" t="n">
        <v>21.23</v>
      </c>
      <c r="L98" s="3" t="n">
        <f aca="false">IF($K98&gt;0,TRUE())</f>
        <v>1</v>
      </c>
      <c r="M98" s="4" t="n">
        <f aca="false">M97+K98</f>
        <v>362.02</v>
      </c>
      <c r="N98" s="4" t="str">
        <f aca="false">VLOOKUP(C98, Sheet2!$A$2:$E$166,  5)</f>
        <v>NO</v>
      </c>
      <c r="O98" s="4" t="n">
        <f aca="false">IF(N98="YES", K98, 0)</f>
        <v>0</v>
      </c>
      <c r="P98" s="4" t="n">
        <f aca="false">P97+O98</f>
        <v>363.57</v>
      </c>
      <c r="Q98" s="5" t="str">
        <f aca="false">IF(O98=0, "N/A", IF(O98&gt;0,TRUE()))</f>
        <v>N/A</v>
      </c>
      <c r="R98" s="3" t="n">
        <f aca="false">AND(TIMEVALUE(B98)&gt;=TIME(8,0,0), TIMEVALUE(B98)&lt;=TIME(16,30,0))</f>
        <v>1</v>
      </c>
      <c r="S98" s="5" t="n">
        <f aca="false">IF(AND(Q98=1, R98=1), O98, 0)</f>
        <v>0</v>
      </c>
      <c r="T98" s="4" t="n">
        <f aca="false">T97+S98</f>
        <v>697.4</v>
      </c>
    </row>
    <row r="99" customFormat="false" ht="12.8" hidden="false" customHeight="false" outlineLevel="0" collapsed="false">
      <c r="A99" s="1" t="n">
        <v>46168</v>
      </c>
      <c r="B99" s="2" t="s">
        <v>88</v>
      </c>
      <c r="C99" s="1" t="n">
        <v>46168</v>
      </c>
      <c r="D99" s="2" t="s">
        <v>69</v>
      </c>
      <c r="E99" s="0" t="s">
        <v>10</v>
      </c>
      <c r="F99" s="0" t="s">
        <v>34</v>
      </c>
      <c r="G99" s="0" t="n">
        <v>25213.4</v>
      </c>
      <c r="H99" s="0" t="n">
        <v>25253.6</v>
      </c>
      <c r="I99" s="0" t="n">
        <v>40.2</v>
      </c>
      <c r="J99" s="0" t="n">
        <f aca="false"> HLOOKUP(E99, $E$2:$I$3, 2, 0)</f>
        <v>0.37</v>
      </c>
      <c r="K99" s="0" t="n">
        <v>14.87</v>
      </c>
      <c r="L99" s="3" t="n">
        <f aca="false">IF($K99&gt;0,TRUE())</f>
        <v>1</v>
      </c>
      <c r="M99" s="4" t="n">
        <f aca="false">M98+K99</f>
        <v>376.89</v>
      </c>
      <c r="N99" s="4" t="str">
        <f aca="false">VLOOKUP(C99, Sheet2!$A$2:$E$166,  5)</f>
        <v>YES</v>
      </c>
      <c r="O99" s="4" t="n">
        <f aca="false">IF(N99="YES", K99, 0)</f>
        <v>14.87</v>
      </c>
      <c r="P99" s="4" t="n">
        <f aca="false">P98+O99</f>
        <v>378.44</v>
      </c>
      <c r="Q99" s="3" t="b">
        <f aca="false">IF(O99=0, "N/A", IF(O99&gt;0,TRUE()))</f>
        <v>1</v>
      </c>
      <c r="R99" s="3" t="n">
        <f aca="false">AND(TIMEVALUE(B99)&gt;=TIME(8,0,0), TIMEVALUE(B99)&lt;=TIME(16,30,0))</f>
        <v>1</v>
      </c>
      <c r="S99" s="5" t="n">
        <f aca="false">IF(AND(Q99=1, R99=1), O99, 0)</f>
        <v>14.87</v>
      </c>
      <c r="T99" s="4" t="n">
        <f aca="false">T98+S99</f>
        <v>712.27</v>
      </c>
    </row>
    <row r="100" customFormat="false" ht="12.8" hidden="false" customHeight="false" outlineLevel="0" collapsed="false">
      <c r="A100" s="1" t="n">
        <v>46168</v>
      </c>
      <c r="B100" s="2" t="s">
        <v>134</v>
      </c>
      <c r="C100" s="1" t="n">
        <v>46168</v>
      </c>
      <c r="D100" s="2" t="s">
        <v>59</v>
      </c>
      <c r="E100" s="0" t="s">
        <v>10</v>
      </c>
      <c r="F100" s="0" t="s">
        <v>34</v>
      </c>
      <c r="G100" s="0" t="n">
        <v>25208.2</v>
      </c>
      <c r="H100" s="0" t="n">
        <v>25238.7</v>
      </c>
      <c r="I100" s="0" t="n">
        <v>30.5</v>
      </c>
      <c r="J100" s="0" t="n">
        <f aca="false"> HLOOKUP(E100, $E$2:$I$3, 2, 0)</f>
        <v>0.37</v>
      </c>
      <c r="K100" s="0" t="n">
        <v>11.29</v>
      </c>
      <c r="L100" s="3" t="n">
        <f aca="false">IF($K100&gt;0,TRUE())</f>
        <v>1</v>
      </c>
      <c r="M100" s="4" t="n">
        <f aca="false">M99+K100</f>
        <v>388.18</v>
      </c>
      <c r="N100" s="4" t="str">
        <f aca="false">VLOOKUP(C100, Sheet2!$A$2:$E$166,  5)</f>
        <v>YES</v>
      </c>
      <c r="O100" s="4" t="n">
        <f aca="false">IF(N100="YES", K100, 0)</f>
        <v>11.29</v>
      </c>
      <c r="P100" s="4" t="n">
        <f aca="false">P99+O100</f>
        <v>389.73</v>
      </c>
      <c r="Q100" s="3" t="b">
        <f aca="false">IF(O100=0, "N/A", IF(O100&gt;0,TRUE()))</f>
        <v>1</v>
      </c>
      <c r="R100" s="3" t="n">
        <f aca="false">AND(TIMEVALUE(B100)&gt;=TIME(8,0,0), TIMEVALUE(B100)&lt;=TIME(16,30,0))</f>
        <v>0</v>
      </c>
      <c r="S100" s="5" t="n">
        <f aca="false">IF(AND(Q100=1, R100=1), O100, 0)</f>
        <v>0</v>
      </c>
      <c r="T100" s="4" t="n">
        <f aca="false">T99+S100</f>
        <v>712.27</v>
      </c>
    </row>
    <row r="101" customFormat="false" ht="12.8" hidden="false" customHeight="false" outlineLevel="0" collapsed="false">
      <c r="A101" s="1" t="n">
        <v>46169</v>
      </c>
      <c r="B101" s="2" t="s">
        <v>135</v>
      </c>
      <c r="C101" s="1" t="n">
        <v>46169</v>
      </c>
      <c r="D101" s="2" t="s">
        <v>136</v>
      </c>
      <c r="E101" s="0" t="s">
        <v>10</v>
      </c>
      <c r="F101" s="0" t="s">
        <v>34</v>
      </c>
      <c r="G101" s="0" t="n">
        <v>25251.4</v>
      </c>
      <c r="H101" s="0" t="n">
        <v>25180.6</v>
      </c>
      <c r="I101" s="0" t="n">
        <v>-70.8</v>
      </c>
      <c r="J101" s="0" t="n">
        <f aca="false"> HLOOKUP(E101, $E$2:$I$3, 2, 0)</f>
        <v>0.37</v>
      </c>
      <c r="K101" s="0" t="n">
        <v>-26.2</v>
      </c>
      <c r="L101" s="3" t="n">
        <f aca="false">IF($K101&gt;0,TRUE())</f>
        <v>0</v>
      </c>
      <c r="M101" s="4" t="n">
        <f aca="false">M100+K101</f>
        <v>361.98</v>
      </c>
      <c r="N101" s="4" t="str">
        <f aca="false">VLOOKUP(C101, Sheet2!$A$2:$E$166,  5)</f>
        <v>NO</v>
      </c>
      <c r="O101" s="4" t="n">
        <f aca="false">IF(N101="YES", K101, 0)</f>
        <v>0</v>
      </c>
      <c r="P101" s="4" t="n">
        <f aca="false">P100+O101</f>
        <v>389.73</v>
      </c>
      <c r="Q101" s="5" t="str">
        <f aca="false">IF(O101=0, "N/A", IF(O101&gt;0,TRUE()))</f>
        <v>N/A</v>
      </c>
      <c r="R101" s="3" t="n">
        <f aca="false">AND(TIMEVALUE(B101)&gt;=TIME(8,0,0), TIMEVALUE(B101)&lt;=TIME(16,30,0))</f>
        <v>1</v>
      </c>
      <c r="S101" s="5" t="n">
        <f aca="false">IF(AND(Q101=1, R101=1), O101, 0)</f>
        <v>0</v>
      </c>
      <c r="T101" s="4" t="n">
        <f aca="false">T100+S101</f>
        <v>712.27</v>
      </c>
    </row>
    <row r="102" customFormat="false" ht="12.8" hidden="false" customHeight="false" outlineLevel="0" collapsed="false">
      <c r="A102" s="1" t="n">
        <v>46170</v>
      </c>
      <c r="B102" s="2" t="s">
        <v>137</v>
      </c>
      <c r="C102" s="1" t="n">
        <v>46170</v>
      </c>
      <c r="D102" s="2" t="s">
        <v>138</v>
      </c>
      <c r="E102" s="0" t="s">
        <v>4</v>
      </c>
      <c r="F102" s="0" t="s">
        <v>34</v>
      </c>
      <c r="G102" s="0" t="n">
        <v>8140.8</v>
      </c>
      <c r="H102" s="0" t="n">
        <v>8160.7</v>
      </c>
      <c r="I102" s="0" t="n">
        <v>19.9</v>
      </c>
      <c r="J102" s="0" t="n">
        <f aca="false"> HLOOKUP(E102, $E$2:$I$3, 2, 0)</f>
        <v>1</v>
      </c>
      <c r="K102" s="0" t="n">
        <v>21.89</v>
      </c>
      <c r="L102" s="3" t="n">
        <f aca="false">IF($K102&gt;0,TRUE())</f>
        <v>1</v>
      </c>
      <c r="M102" s="4" t="n">
        <f aca="false">M101+K102</f>
        <v>383.87</v>
      </c>
      <c r="N102" s="4" t="str">
        <f aca="false">VLOOKUP(C102, Sheet2!$A$2:$E$166,  5)</f>
        <v>NO</v>
      </c>
      <c r="O102" s="4" t="n">
        <f aca="false">IF(N102="YES", K102, 0)</f>
        <v>0</v>
      </c>
      <c r="P102" s="4" t="n">
        <f aca="false">P101+O102</f>
        <v>389.73</v>
      </c>
      <c r="Q102" s="5" t="str">
        <f aca="false">IF(O102=0, "N/A", IF(O102&gt;0,TRUE()))</f>
        <v>N/A</v>
      </c>
      <c r="R102" s="3" t="n">
        <f aca="false">AND(TIMEVALUE(B102)&gt;=TIME(8,0,0), TIMEVALUE(B102)&lt;=TIME(16,30,0))</f>
        <v>0</v>
      </c>
      <c r="S102" s="5" t="n">
        <f aca="false">IF(AND(Q102=1, R102=1), O102, 0)</f>
        <v>0</v>
      </c>
      <c r="T102" s="4" t="n">
        <f aca="false">T101+S102</f>
        <v>712.27</v>
      </c>
    </row>
    <row r="103" customFormat="false" ht="12.8" hidden="false" customHeight="false" outlineLevel="0" collapsed="false">
      <c r="A103" s="1" t="n">
        <v>46171</v>
      </c>
      <c r="B103" s="2" t="s">
        <v>104</v>
      </c>
      <c r="C103" s="1" t="n">
        <v>46171</v>
      </c>
      <c r="D103" s="2" t="s">
        <v>139</v>
      </c>
      <c r="E103" s="0" t="s">
        <v>9</v>
      </c>
      <c r="F103" s="0" t="s">
        <v>62</v>
      </c>
      <c r="G103" s="0" t="n">
        <v>10428.9</v>
      </c>
      <c r="H103" s="0" t="n">
        <v>10417.8</v>
      </c>
      <c r="I103" s="0" t="n">
        <v>11.1</v>
      </c>
      <c r="J103" s="0" t="n">
        <f aca="false"> HLOOKUP(E103, $E$2:$I$3, 2, 0)</f>
        <v>0.8</v>
      </c>
      <c r="K103" s="0" t="n">
        <v>9.77</v>
      </c>
      <c r="L103" s="3" t="n">
        <f aca="false">IF($K103&gt;0,TRUE())</f>
        <v>1</v>
      </c>
      <c r="M103" s="4" t="n">
        <f aca="false">M102+K103</f>
        <v>393.64</v>
      </c>
      <c r="N103" s="4" t="str">
        <f aca="false">VLOOKUP(C103, Sheet2!$A$2:$E$166,  5)</f>
        <v>NO</v>
      </c>
      <c r="O103" s="4" t="n">
        <f aca="false">IF(N103="YES", K103, 0)</f>
        <v>0</v>
      </c>
      <c r="P103" s="4" t="n">
        <f aca="false">P102+O103</f>
        <v>389.73</v>
      </c>
      <c r="Q103" s="5" t="str">
        <f aca="false">IF(O103=0, "N/A", IF(O103&gt;0,TRUE()))</f>
        <v>N/A</v>
      </c>
      <c r="R103" s="3" t="n">
        <f aca="false">AND(TIMEVALUE(B103)&gt;=TIME(8,0,0), TIMEVALUE(B103)&lt;=TIME(16,30,0))</f>
        <v>0</v>
      </c>
      <c r="S103" s="5" t="n">
        <f aca="false">IF(AND(Q103=1, R103=1), O103, 0)</f>
        <v>0</v>
      </c>
      <c r="T103" s="4" t="n">
        <f aca="false">T102+S103</f>
        <v>712.27</v>
      </c>
    </row>
    <row r="104" customFormat="false" ht="12.8" hidden="false" customHeight="false" outlineLevel="0" collapsed="false">
      <c r="A104" s="1" t="n">
        <v>46171</v>
      </c>
      <c r="B104" s="2" t="s">
        <v>140</v>
      </c>
      <c r="C104" s="1" t="n">
        <v>46171</v>
      </c>
      <c r="D104" s="2" t="s">
        <v>59</v>
      </c>
      <c r="E104" s="0" t="s">
        <v>4</v>
      </c>
      <c r="F104" s="0" t="s">
        <v>34</v>
      </c>
      <c r="G104" s="0" t="n">
        <v>8186.9</v>
      </c>
      <c r="H104" s="0" t="n">
        <v>8159.6</v>
      </c>
      <c r="I104" s="0" t="n">
        <v>-27.3</v>
      </c>
      <c r="J104" s="0" t="n">
        <f aca="false"> HLOOKUP(E104, $E$2:$I$3, 2, 0)</f>
        <v>1</v>
      </c>
      <c r="K104" s="0" t="n">
        <v>-27.3</v>
      </c>
      <c r="L104" s="3" t="n">
        <f aca="false">IF($K104&gt;0,TRUE())</f>
        <v>0</v>
      </c>
      <c r="M104" s="4" t="n">
        <f aca="false">M103+K104</f>
        <v>366.34</v>
      </c>
      <c r="N104" s="4" t="str">
        <f aca="false">VLOOKUP(C104, Sheet2!$A$2:$E$166,  5)</f>
        <v>NO</v>
      </c>
      <c r="O104" s="4" t="n">
        <f aca="false">IF(N104="YES", K104, 0)</f>
        <v>0</v>
      </c>
      <c r="P104" s="4" t="n">
        <f aca="false">P103+O104</f>
        <v>389.73</v>
      </c>
      <c r="Q104" s="5" t="str">
        <f aca="false">IF(O104=0, "N/A", IF(O104&gt;0,TRUE()))</f>
        <v>N/A</v>
      </c>
      <c r="R104" s="3" t="n">
        <f aca="false">AND(TIMEVALUE(B104)&gt;=TIME(8,0,0), TIMEVALUE(B104)&lt;=TIME(16,30,0))</f>
        <v>0</v>
      </c>
      <c r="S104" s="5" t="n">
        <f aca="false">IF(AND(Q104=1, R104=1), O104, 0)</f>
        <v>0</v>
      </c>
      <c r="T104" s="4" t="n">
        <f aca="false">T103+S104</f>
        <v>712.27</v>
      </c>
    </row>
    <row r="105" customFormat="false" ht="12.8" hidden="false" customHeight="false" outlineLevel="0" collapsed="false">
      <c r="A105" s="1" t="n">
        <v>46174</v>
      </c>
      <c r="B105" s="2" t="s">
        <v>111</v>
      </c>
      <c r="C105" s="1" t="n">
        <v>46174</v>
      </c>
      <c r="D105" s="2" t="s">
        <v>135</v>
      </c>
      <c r="E105" s="0" t="s">
        <v>10</v>
      </c>
      <c r="F105" s="0" t="s">
        <v>34</v>
      </c>
      <c r="G105" s="0" t="n">
        <v>25004.5</v>
      </c>
      <c r="H105" s="0" t="n">
        <v>24919.6</v>
      </c>
      <c r="I105" s="0" t="n">
        <v>-84.9</v>
      </c>
      <c r="J105" s="0" t="n">
        <f aca="false"> HLOOKUP(E105, $E$2:$I$3, 2, 0)</f>
        <v>0.37</v>
      </c>
      <c r="K105" s="0" t="n">
        <v>-31.41</v>
      </c>
      <c r="L105" s="3" t="n">
        <f aca="false">IF($K105&gt;0,TRUE())</f>
        <v>0</v>
      </c>
      <c r="M105" s="4" t="n">
        <f aca="false">M104+K105</f>
        <v>334.93</v>
      </c>
      <c r="N105" s="4" t="str">
        <f aca="false">VLOOKUP(C105, Sheet2!$A$2:$E$166,  5)</f>
        <v>NO</v>
      </c>
      <c r="O105" s="4" t="n">
        <f aca="false">IF(N105="YES", K105, 0)</f>
        <v>0</v>
      </c>
      <c r="P105" s="4" t="n">
        <f aca="false">P104+O105</f>
        <v>389.73</v>
      </c>
      <c r="Q105" s="5" t="str">
        <f aca="false">IF(O105=0, "N/A", IF(O105&gt;0,TRUE()))</f>
        <v>N/A</v>
      </c>
      <c r="R105" s="3" t="n">
        <f aca="false">AND(TIMEVALUE(B105)&gt;=TIME(8,0,0), TIMEVALUE(B105)&lt;=TIME(16,30,0))</f>
        <v>1</v>
      </c>
      <c r="S105" s="5" t="n">
        <f aca="false">IF(AND(Q105=1, R105=1), O105, 0)</f>
        <v>0</v>
      </c>
      <c r="T105" s="4" t="n">
        <f aca="false">T104+S105</f>
        <v>712.27</v>
      </c>
    </row>
    <row r="106" customFormat="false" ht="12.8" hidden="false" customHeight="false" outlineLevel="0" collapsed="false">
      <c r="A106" s="1" t="n">
        <v>46174</v>
      </c>
      <c r="B106" s="2" t="s">
        <v>107</v>
      </c>
      <c r="C106" s="1" t="n">
        <v>46174</v>
      </c>
      <c r="D106" s="2" t="s">
        <v>141</v>
      </c>
      <c r="E106" s="0" t="s">
        <v>10</v>
      </c>
      <c r="F106" s="0" t="s">
        <v>34</v>
      </c>
      <c r="G106" s="0" t="n">
        <v>24950.8</v>
      </c>
      <c r="H106" s="0" t="n">
        <v>24985.2</v>
      </c>
      <c r="I106" s="0" t="n">
        <v>34.4</v>
      </c>
      <c r="J106" s="0" t="n">
        <f aca="false"> HLOOKUP(E106, $E$2:$I$3, 2, 0)</f>
        <v>0.37</v>
      </c>
      <c r="K106" s="0" t="n">
        <v>12.73</v>
      </c>
      <c r="L106" s="3" t="n">
        <f aca="false">IF($K106&gt;0,TRUE())</f>
        <v>1</v>
      </c>
      <c r="M106" s="4" t="n">
        <f aca="false">M105+K106</f>
        <v>347.66</v>
      </c>
      <c r="N106" s="4" t="str">
        <f aca="false">VLOOKUP(C106, Sheet2!$A$2:$E$166,  5)</f>
        <v>NO</v>
      </c>
      <c r="O106" s="4" t="n">
        <f aca="false">IF(N106="YES", K106, 0)</f>
        <v>0</v>
      </c>
      <c r="P106" s="4" t="n">
        <f aca="false">P105+O106</f>
        <v>389.73</v>
      </c>
      <c r="Q106" s="5" t="str">
        <f aca="false">IF(O106=0, "N/A", IF(O106&gt;0,TRUE()))</f>
        <v>N/A</v>
      </c>
      <c r="R106" s="3" t="n">
        <f aca="false">AND(TIMEVALUE(B106)&gt;=TIME(8,0,0), TIMEVALUE(B106)&lt;=TIME(16,30,0))</f>
        <v>1</v>
      </c>
      <c r="S106" s="5" t="n">
        <f aca="false">IF(AND(Q106=1, R106=1), O106, 0)</f>
        <v>0</v>
      </c>
      <c r="T106" s="4" t="n">
        <f aca="false">T105+S106</f>
        <v>712.27</v>
      </c>
    </row>
    <row r="107" customFormat="false" ht="12.8" hidden="false" customHeight="false" outlineLevel="0" collapsed="false">
      <c r="A107" s="1" t="n">
        <v>46176</v>
      </c>
      <c r="B107" s="2" t="s">
        <v>101</v>
      </c>
      <c r="C107" s="1" t="n">
        <v>46176</v>
      </c>
      <c r="D107" s="2" t="s">
        <v>118</v>
      </c>
      <c r="E107" s="0" t="s">
        <v>10</v>
      </c>
      <c r="F107" s="0" t="s">
        <v>34</v>
      </c>
      <c r="G107" s="0" t="n">
        <v>25025.9</v>
      </c>
      <c r="H107" s="0" t="n">
        <v>24943.8</v>
      </c>
      <c r="I107" s="0" t="n">
        <v>-82.1</v>
      </c>
      <c r="J107" s="0" t="n">
        <f aca="false"> HLOOKUP(E107, $E$2:$I$3, 2, 0)</f>
        <v>0.37</v>
      </c>
      <c r="K107" s="0" t="n">
        <v>-32.84</v>
      </c>
      <c r="L107" s="3" t="n">
        <f aca="false">IF($K107&gt;0,TRUE())</f>
        <v>0</v>
      </c>
      <c r="M107" s="4" t="n">
        <f aca="false">M106+K107</f>
        <v>314.82</v>
      </c>
      <c r="N107" s="4" t="str">
        <f aca="false">VLOOKUP(C107, Sheet2!$A$2:$E$166,  5)</f>
        <v>NO</v>
      </c>
      <c r="O107" s="4" t="n">
        <f aca="false">IF(N107="YES", K107, 0)</f>
        <v>0</v>
      </c>
      <c r="P107" s="4" t="n">
        <f aca="false">P106+O107</f>
        <v>389.73</v>
      </c>
      <c r="Q107" s="5" t="str">
        <f aca="false">IF(O107=0, "N/A", IF(O107&gt;0,TRUE()))</f>
        <v>N/A</v>
      </c>
      <c r="R107" s="3" t="n">
        <f aca="false">AND(TIMEVALUE(B107)&gt;=TIME(8,0,0), TIMEVALUE(B107)&lt;=TIME(16,30,0))</f>
        <v>0</v>
      </c>
      <c r="S107" s="5" t="n">
        <f aca="false">IF(AND(Q107=1, R107=1), O107, 0)</f>
        <v>0</v>
      </c>
      <c r="T107" s="4" t="n">
        <f aca="false">T106+S107</f>
        <v>712.27</v>
      </c>
    </row>
    <row r="108" customFormat="false" ht="12.8" hidden="false" customHeight="false" outlineLevel="0" collapsed="false">
      <c r="A108" s="1" t="n">
        <v>46176</v>
      </c>
      <c r="B108" s="2" t="s">
        <v>142</v>
      </c>
      <c r="C108" s="1" t="n">
        <v>46176</v>
      </c>
      <c r="D108" s="2" t="s">
        <v>141</v>
      </c>
      <c r="E108" s="0" t="s">
        <v>10</v>
      </c>
      <c r="F108" s="0" t="s">
        <v>34</v>
      </c>
      <c r="G108" s="0" t="n">
        <v>24809.6</v>
      </c>
      <c r="H108" s="0" t="n">
        <v>24796.5</v>
      </c>
      <c r="I108" s="0" t="n">
        <v>-13.1</v>
      </c>
      <c r="J108" s="0" t="n">
        <f aca="false"> HLOOKUP(E108, $E$2:$I$3, 2, 0)</f>
        <v>0.37</v>
      </c>
      <c r="K108" s="0" t="n">
        <v>-4.85</v>
      </c>
      <c r="L108" s="3" t="n">
        <f aca="false">IF($K108&gt;0,TRUE())</f>
        <v>0</v>
      </c>
      <c r="M108" s="4" t="n">
        <f aca="false">M107+K108</f>
        <v>309.97</v>
      </c>
      <c r="N108" s="4" t="str">
        <f aca="false">VLOOKUP(C108, Sheet2!$A$2:$E$166,  5)</f>
        <v>NO</v>
      </c>
      <c r="O108" s="4" t="n">
        <f aca="false">IF(N108="YES", K108, 0)</f>
        <v>0</v>
      </c>
      <c r="P108" s="4" t="n">
        <f aca="false">P107+O108</f>
        <v>389.73</v>
      </c>
      <c r="Q108" s="5" t="str">
        <f aca="false">IF(O108=0, "N/A", IF(O108&gt;0,TRUE()))</f>
        <v>N/A</v>
      </c>
      <c r="R108" s="3" t="n">
        <f aca="false">AND(TIMEVALUE(B108)&gt;=TIME(8,0,0), TIMEVALUE(B108)&lt;=TIME(16,30,0))</f>
        <v>1</v>
      </c>
      <c r="S108" s="5" t="n">
        <f aca="false">IF(AND(Q108=1, R108=1), O108, 0)</f>
        <v>0</v>
      </c>
      <c r="T108" s="4" t="n">
        <f aca="false">T107+S108</f>
        <v>712.27</v>
      </c>
    </row>
    <row r="109" customFormat="false" ht="12.8" hidden="false" customHeight="false" outlineLevel="0" collapsed="false">
      <c r="A109" s="1" t="n">
        <v>46177</v>
      </c>
      <c r="B109" s="2" t="s">
        <v>143</v>
      </c>
      <c r="C109" s="1" t="n">
        <v>46177</v>
      </c>
      <c r="D109" s="2" t="s">
        <v>59</v>
      </c>
      <c r="E109" s="0" t="s">
        <v>9</v>
      </c>
      <c r="F109" s="0" t="s">
        <v>62</v>
      </c>
      <c r="G109" s="0" t="n">
        <v>10372.1</v>
      </c>
      <c r="H109" s="0" t="n">
        <v>10390.1</v>
      </c>
      <c r="I109" s="0" t="n">
        <v>-18</v>
      </c>
      <c r="J109" s="0" t="n">
        <f aca="false"> HLOOKUP(E109, $E$2:$I$3, 2, 0)</f>
        <v>0.8</v>
      </c>
      <c r="K109" s="0" t="n">
        <v>-14.4</v>
      </c>
      <c r="L109" s="3" t="n">
        <f aca="false">IF($K109&gt;0,TRUE())</f>
        <v>0</v>
      </c>
      <c r="M109" s="4" t="n">
        <f aca="false">M108+K109</f>
        <v>295.57</v>
      </c>
      <c r="N109" s="4" t="str">
        <f aca="false">VLOOKUP(C109, Sheet2!$A$2:$E$166,  5)</f>
        <v>NO</v>
      </c>
      <c r="O109" s="4" t="n">
        <f aca="false">IF(N109="YES", K109, 0)</f>
        <v>0</v>
      </c>
      <c r="P109" s="4" t="n">
        <f aca="false">P108+O109</f>
        <v>389.73</v>
      </c>
      <c r="Q109" s="5" t="str">
        <f aca="false">IF(O109=0, "N/A", IF(O109&gt;0,TRUE()))</f>
        <v>N/A</v>
      </c>
      <c r="R109" s="3" t="n">
        <f aca="false">AND(TIMEVALUE(B109)&gt;=TIME(8,0,0), TIMEVALUE(B109)&lt;=TIME(16,30,0))</f>
        <v>0</v>
      </c>
      <c r="S109" s="5" t="n">
        <f aca="false">IF(AND(Q109=1, R109=1), O109, 0)</f>
        <v>0</v>
      </c>
      <c r="T109" s="4" t="n">
        <f aca="false">T108+S109</f>
        <v>712.27</v>
      </c>
    </row>
    <row r="110" customFormat="false" ht="12.8" hidden="false" customHeight="false" outlineLevel="0" collapsed="false">
      <c r="A110" s="1" t="n">
        <v>46178</v>
      </c>
      <c r="B110" s="2" t="s">
        <v>144</v>
      </c>
      <c r="C110" s="1" t="n">
        <v>46178</v>
      </c>
      <c r="D110" s="2" t="s">
        <v>145</v>
      </c>
      <c r="E110" s="0" t="s">
        <v>10</v>
      </c>
      <c r="F110" s="0" t="s">
        <v>34</v>
      </c>
      <c r="G110" s="0" t="n">
        <v>24908.2</v>
      </c>
      <c r="H110" s="0" t="n">
        <v>24834.6</v>
      </c>
      <c r="I110" s="0" t="n">
        <v>-73.6</v>
      </c>
      <c r="J110" s="0" t="n">
        <f aca="false"> HLOOKUP(E110, $E$2:$I$3, 2, 0)</f>
        <v>0.37</v>
      </c>
      <c r="K110" s="0" t="n">
        <v>-27.23</v>
      </c>
      <c r="L110" s="3" t="n">
        <f aca="false">IF($K110&gt;0,TRUE())</f>
        <v>0</v>
      </c>
      <c r="M110" s="4" t="n">
        <f aca="false">M109+K110</f>
        <v>268.34</v>
      </c>
      <c r="N110" s="4" t="str">
        <f aca="false">VLOOKUP(C110, Sheet2!$A$2:$E$166,  5)</f>
        <v>NO</v>
      </c>
      <c r="O110" s="4" t="n">
        <f aca="false">IF(N110="YES", K110, 0)</f>
        <v>0</v>
      </c>
      <c r="P110" s="4" t="n">
        <f aca="false">P109+O110</f>
        <v>389.73</v>
      </c>
      <c r="Q110" s="5" t="str">
        <f aca="false">IF(O110=0, "N/A", IF(O110&gt;0,TRUE()))</f>
        <v>N/A</v>
      </c>
      <c r="R110" s="3" t="n">
        <f aca="false">AND(TIMEVALUE(B110)&gt;=TIME(8,0,0), TIMEVALUE(B110)&lt;=TIME(16,30,0))</f>
        <v>1</v>
      </c>
      <c r="S110" s="5" t="n">
        <f aca="false">IF(AND(Q110=1, R110=1), O110, 0)</f>
        <v>0</v>
      </c>
      <c r="T110" s="4" t="n">
        <f aca="false">T109+S110</f>
        <v>712.27</v>
      </c>
    </row>
    <row r="111" customFormat="false" ht="12.8" hidden="false" customHeight="false" outlineLevel="0" collapsed="false">
      <c r="A111" s="1" t="n">
        <v>46178</v>
      </c>
      <c r="B111" s="2" t="s">
        <v>146</v>
      </c>
      <c r="C111" s="1" t="n">
        <v>46178</v>
      </c>
      <c r="D111" s="2" t="s">
        <v>141</v>
      </c>
      <c r="E111" s="0" t="s">
        <v>10</v>
      </c>
      <c r="F111" s="0" t="s">
        <v>34</v>
      </c>
      <c r="G111" s="0" t="n">
        <v>24829.2</v>
      </c>
      <c r="H111" s="0" t="n">
        <v>24777.4</v>
      </c>
      <c r="I111" s="0" t="n">
        <v>-51.8</v>
      </c>
      <c r="J111" s="0" t="n">
        <f aca="false"> HLOOKUP(E111, $E$2:$I$3, 2, 0)</f>
        <v>0.37</v>
      </c>
      <c r="K111" s="0" t="n">
        <v>-19.17</v>
      </c>
      <c r="L111" s="3" t="n">
        <f aca="false">IF($K111&gt;0,TRUE())</f>
        <v>0</v>
      </c>
      <c r="M111" s="4" t="n">
        <f aca="false">M110+K111</f>
        <v>249.17</v>
      </c>
      <c r="N111" s="4" t="str">
        <f aca="false">VLOOKUP(C111, Sheet2!$A$2:$E$166,  5)</f>
        <v>NO</v>
      </c>
      <c r="O111" s="4" t="n">
        <f aca="false">IF(N111="YES", K111, 0)</f>
        <v>0</v>
      </c>
      <c r="P111" s="4" t="n">
        <f aca="false">P110+O111</f>
        <v>389.73</v>
      </c>
      <c r="Q111" s="5" t="str">
        <f aca="false">IF(O111=0, "N/A", IF(O111&gt;0,TRUE()))</f>
        <v>N/A</v>
      </c>
      <c r="R111" s="3" t="n">
        <f aca="false">AND(TIMEVALUE(B111)&gt;=TIME(8,0,0), TIMEVALUE(B111)&lt;=TIME(16,30,0))</f>
        <v>1</v>
      </c>
      <c r="S111" s="5" t="n">
        <f aca="false">IF(AND(Q111=1, R111=1), O111, 0)</f>
        <v>0</v>
      </c>
      <c r="T111" s="4" t="n">
        <f aca="false">T110+S111</f>
        <v>712.27</v>
      </c>
    </row>
    <row r="112" customFormat="false" ht="12.8" hidden="false" customHeight="false" outlineLevel="0" collapsed="false">
      <c r="A112" s="1" t="n">
        <v>46178</v>
      </c>
      <c r="B112" s="2" t="s">
        <v>147</v>
      </c>
      <c r="C112" s="1" t="n">
        <v>46178</v>
      </c>
      <c r="D112" s="2" t="s">
        <v>148</v>
      </c>
      <c r="E112" s="0" t="s">
        <v>10</v>
      </c>
      <c r="F112" s="0" t="s">
        <v>34</v>
      </c>
      <c r="G112" s="0" t="n">
        <v>24768.7</v>
      </c>
      <c r="H112" s="0" t="n">
        <v>24692.7</v>
      </c>
      <c r="I112" s="0" t="n">
        <v>-76</v>
      </c>
      <c r="J112" s="0" t="n">
        <f aca="false"> HLOOKUP(E112, $E$2:$I$3, 2, 0)</f>
        <v>0.37</v>
      </c>
      <c r="K112" s="0" t="n">
        <v>-28.12</v>
      </c>
      <c r="L112" s="3" t="n">
        <f aca="false">IF($K112&gt;0,TRUE())</f>
        <v>0</v>
      </c>
      <c r="M112" s="4" t="n">
        <f aca="false">M111+K112</f>
        <v>221.05</v>
      </c>
      <c r="N112" s="4" t="str">
        <f aca="false">VLOOKUP(C112, Sheet2!$A$2:$E$166,  5)</f>
        <v>NO</v>
      </c>
      <c r="O112" s="4" t="n">
        <f aca="false">IF(N112="YES", K112, 0)</f>
        <v>0</v>
      </c>
      <c r="P112" s="4" t="n">
        <f aca="false">P111+O112</f>
        <v>389.73</v>
      </c>
      <c r="Q112" s="5" t="str">
        <f aca="false">IF(O112=0, "N/A", IF(O112&gt;0,TRUE()))</f>
        <v>N/A</v>
      </c>
      <c r="R112" s="3" t="n">
        <f aca="false">AND(TIMEVALUE(B112)&gt;=TIME(8,0,0), TIMEVALUE(B112)&lt;=TIME(16,30,0))</f>
        <v>0</v>
      </c>
      <c r="S112" s="5" t="n">
        <f aca="false">IF(AND(Q112=1, R112=1), O112, 0)</f>
        <v>0</v>
      </c>
      <c r="T112" s="4" t="n">
        <f aca="false">T111+S112</f>
        <v>712.27</v>
      </c>
    </row>
    <row r="113" customFormat="false" ht="12.8" hidden="false" customHeight="false" outlineLevel="0" collapsed="false">
      <c r="A113" s="1" t="n">
        <v>46181</v>
      </c>
      <c r="B113" s="2" t="s">
        <v>102</v>
      </c>
      <c r="C113" s="1" t="n">
        <v>46181</v>
      </c>
      <c r="D113" s="2" t="s">
        <v>79</v>
      </c>
      <c r="E113" s="0" t="s">
        <v>9</v>
      </c>
      <c r="F113" s="0" t="s">
        <v>62</v>
      </c>
      <c r="G113" s="0" t="n">
        <v>10334.1</v>
      </c>
      <c r="H113" s="0" t="n">
        <v>10368.8</v>
      </c>
      <c r="I113" s="0" t="n">
        <v>-34.7</v>
      </c>
      <c r="J113" s="0" t="n">
        <f aca="false"> HLOOKUP(E113, $E$2:$I$3, 2, 0)</f>
        <v>0.8</v>
      </c>
      <c r="K113" s="0" t="n">
        <v>-27.76</v>
      </c>
      <c r="L113" s="3" t="n">
        <f aca="false">IF($K113&gt;0,TRUE())</f>
        <v>0</v>
      </c>
      <c r="M113" s="4" t="n">
        <f aca="false">M112+K113</f>
        <v>193.29</v>
      </c>
      <c r="N113" s="4" t="str">
        <f aca="false">VLOOKUP(C113, Sheet2!$A$2:$E$166,  5)</f>
        <v>NO</v>
      </c>
      <c r="O113" s="4" t="n">
        <f aca="false">IF(N113="YES", K113, 0)</f>
        <v>0</v>
      </c>
      <c r="P113" s="4" t="n">
        <f aca="false">P112+O113</f>
        <v>389.73</v>
      </c>
      <c r="Q113" s="5" t="str">
        <f aca="false">IF(O113=0, "N/A", IF(O113&gt;0,TRUE()))</f>
        <v>N/A</v>
      </c>
      <c r="R113" s="3" t="n">
        <f aca="false">AND(TIMEVALUE(B113)&gt;=TIME(8,0,0), TIMEVALUE(B113)&lt;=TIME(16,30,0))</f>
        <v>1</v>
      </c>
      <c r="S113" s="5" t="n">
        <f aca="false">IF(AND(Q113=1, R113=1), O113, 0)</f>
        <v>0</v>
      </c>
      <c r="T113" s="4" t="n">
        <f aca="false">T112+S113</f>
        <v>712.27</v>
      </c>
    </row>
    <row r="114" customFormat="false" ht="12.8" hidden="false" customHeight="false" outlineLevel="0" collapsed="false">
      <c r="A114" s="1" t="n">
        <v>46181</v>
      </c>
      <c r="B114" s="2" t="s">
        <v>47</v>
      </c>
      <c r="C114" s="1" t="n">
        <v>46181</v>
      </c>
      <c r="D114" s="2" t="s">
        <v>149</v>
      </c>
      <c r="E114" s="0" t="s">
        <v>10</v>
      </c>
      <c r="F114" s="0" t="s">
        <v>62</v>
      </c>
      <c r="G114" s="0" t="n">
        <v>24598.9</v>
      </c>
      <c r="H114" s="0" t="n">
        <v>24732.4</v>
      </c>
      <c r="I114" s="0" t="n">
        <v>-133.5</v>
      </c>
      <c r="J114" s="0" t="n">
        <f aca="false"> HLOOKUP(E114, $E$2:$I$3, 2, 0)</f>
        <v>0.37</v>
      </c>
      <c r="K114" s="0" t="n">
        <v>-49.39</v>
      </c>
      <c r="L114" s="3" t="n">
        <f aca="false">IF($K114&gt;0,TRUE())</f>
        <v>0</v>
      </c>
      <c r="M114" s="4" t="n">
        <f aca="false">M113+K114</f>
        <v>143.9</v>
      </c>
      <c r="N114" s="4" t="str">
        <f aca="false">VLOOKUP(C114, Sheet2!$A$2:$E$166,  5)</f>
        <v>NO</v>
      </c>
      <c r="O114" s="4" t="n">
        <f aca="false">IF(N114="YES", K114, 0)</f>
        <v>0</v>
      </c>
      <c r="P114" s="4" t="n">
        <f aca="false">P113+O114</f>
        <v>389.73</v>
      </c>
      <c r="Q114" s="5" t="str">
        <f aca="false">IF(O114=0, "N/A", IF(O114&gt;0,TRUE()))</f>
        <v>N/A</v>
      </c>
      <c r="R114" s="3" t="n">
        <f aca="false">AND(TIMEVALUE(B114)&gt;=TIME(8,0,0), TIMEVALUE(B114)&lt;=TIME(16,30,0))</f>
        <v>1</v>
      </c>
      <c r="S114" s="5" t="n">
        <f aca="false">IF(AND(Q114=1, R114=1), O114, 0)</f>
        <v>0</v>
      </c>
      <c r="T114" s="4" t="n">
        <f aca="false">T113+S114</f>
        <v>712.27</v>
      </c>
    </row>
    <row r="115" customFormat="false" ht="12.8" hidden="false" customHeight="false" outlineLevel="0" collapsed="false">
      <c r="A115" s="1" t="n">
        <v>46182</v>
      </c>
      <c r="B115" s="2" t="s">
        <v>150</v>
      </c>
      <c r="C115" s="1" t="n">
        <v>46182</v>
      </c>
      <c r="D115" s="2" t="s">
        <v>37</v>
      </c>
      <c r="E115" s="0" t="s">
        <v>10</v>
      </c>
      <c r="F115" s="0" t="s">
        <v>62</v>
      </c>
      <c r="G115" s="0" t="n">
        <v>24617.3</v>
      </c>
      <c r="H115" s="0" t="n">
        <v>24690.3</v>
      </c>
      <c r="I115" s="0" t="n">
        <v>-73</v>
      </c>
      <c r="J115" s="0" t="n">
        <f aca="false"> HLOOKUP(E115, $E$2:$I$3, 2, 0)</f>
        <v>0.37</v>
      </c>
      <c r="K115" s="0" t="n">
        <v>-29.2</v>
      </c>
      <c r="L115" s="3" t="n">
        <f aca="false">IF($K115&gt;0,TRUE())</f>
        <v>0</v>
      </c>
      <c r="M115" s="4" t="n">
        <f aca="false">M114+K115</f>
        <v>114.7</v>
      </c>
      <c r="N115" s="4" t="str">
        <f aca="false">VLOOKUP(C115, Sheet2!$A$2:$E$166,  5)</f>
        <v>NO</v>
      </c>
      <c r="O115" s="4" t="n">
        <f aca="false">IF(N115="YES", K115, 0)</f>
        <v>0</v>
      </c>
      <c r="P115" s="4" t="n">
        <f aca="false">P114+O115</f>
        <v>389.73</v>
      </c>
      <c r="Q115" s="5" t="str">
        <f aca="false">IF(O115=0, "N/A", IF(O115&gt;0,TRUE()))</f>
        <v>N/A</v>
      </c>
      <c r="R115" s="3" t="n">
        <f aca="false">AND(TIMEVALUE(B115)&gt;=TIME(8,0,0), TIMEVALUE(B115)&lt;=TIME(16,30,0))</f>
        <v>0</v>
      </c>
      <c r="S115" s="5" t="n">
        <f aca="false">IF(AND(Q115=1, R115=1), O115, 0)</f>
        <v>0</v>
      </c>
      <c r="T115" s="4" t="n">
        <f aca="false">T114+S115</f>
        <v>712.27</v>
      </c>
    </row>
    <row r="116" customFormat="false" ht="12.8" hidden="false" customHeight="false" outlineLevel="0" collapsed="false">
      <c r="A116" s="1" t="n">
        <v>46182</v>
      </c>
      <c r="B116" s="2" t="s">
        <v>86</v>
      </c>
      <c r="C116" s="1" t="n">
        <v>46182</v>
      </c>
      <c r="D116" s="2" t="s">
        <v>151</v>
      </c>
      <c r="E116" s="0" t="s">
        <v>10</v>
      </c>
      <c r="F116" s="0" t="s">
        <v>62</v>
      </c>
      <c r="G116" s="0" t="n">
        <v>24779.9</v>
      </c>
      <c r="H116" s="0" t="n">
        <v>24712.6</v>
      </c>
      <c r="I116" s="0" t="n">
        <v>67.3</v>
      </c>
      <c r="J116" s="0" t="n">
        <f aca="false"> HLOOKUP(E116, $E$2:$I$3, 2, 0)</f>
        <v>0.37</v>
      </c>
      <c r="K116" s="0" t="n">
        <v>24.9</v>
      </c>
      <c r="L116" s="3" t="n">
        <f aca="false">IF($K116&gt;0,TRUE())</f>
        <v>1</v>
      </c>
      <c r="M116" s="4" t="n">
        <f aca="false">M115+K116</f>
        <v>139.6</v>
      </c>
      <c r="N116" s="4" t="str">
        <f aca="false">VLOOKUP(C116, Sheet2!$A$2:$E$166,  5)</f>
        <v>NO</v>
      </c>
      <c r="O116" s="4" t="n">
        <f aca="false">IF(N116="YES", K116, 0)</f>
        <v>0</v>
      </c>
      <c r="P116" s="4" t="n">
        <f aca="false">P115+O116</f>
        <v>389.73</v>
      </c>
      <c r="Q116" s="5" t="str">
        <f aca="false">IF(O116=0, "N/A", IF(O116&gt;0,TRUE()))</f>
        <v>N/A</v>
      </c>
      <c r="R116" s="3" t="n">
        <f aca="false">AND(TIMEVALUE(B116)&gt;=TIME(8,0,0), TIMEVALUE(B116)&lt;=TIME(16,30,0))</f>
        <v>1</v>
      </c>
      <c r="S116" s="5" t="n">
        <f aca="false">IF(AND(Q116=1, R116=1), O116, 0)</f>
        <v>0</v>
      </c>
      <c r="T116" s="4" t="n">
        <f aca="false">T115+S116</f>
        <v>712.27</v>
      </c>
    </row>
    <row r="117" customFormat="false" ht="12.8" hidden="false" customHeight="false" outlineLevel="0" collapsed="false">
      <c r="A117" s="1" t="n">
        <v>46183</v>
      </c>
      <c r="B117" s="2" t="s">
        <v>148</v>
      </c>
      <c r="C117" s="1" t="n">
        <v>46183</v>
      </c>
      <c r="D117" s="2" t="s">
        <v>152</v>
      </c>
      <c r="E117" s="0" t="s">
        <v>4</v>
      </c>
      <c r="F117" s="0" t="s">
        <v>34</v>
      </c>
      <c r="G117" s="0" t="n">
        <v>8152.6</v>
      </c>
      <c r="H117" s="0" t="n">
        <v>8123.4</v>
      </c>
      <c r="I117" s="0" t="n">
        <v>-29.2</v>
      </c>
      <c r="J117" s="0" t="n">
        <f aca="false"> HLOOKUP(E117, $E$2:$I$3, 2, 0)</f>
        <v>1</v>
      </c>
      <c r="K117" s="0" t="n">
        <v>-29.2</v>
      </c>
      <c r="L117" s="3" t="n">
        <f aca="false">IF($K117&gt;0,TRUE())</f>
        <v>0</v>
      </c>
      <c r="M117" s="4" t="n">
        <f aca="false">M116+K117</f>
        <v>110.4</v>
      </c>
      <c r="N117" s="4" t="str">
        <f aca="false">VLOOKUP(C117, Sheet2!$A$2:$E$166,  5)</f>
        <v>NO</v>
      </c>
      <c r="O117" s="4" t="n">
        <f aca="false">IF(N117="YES", K117, 0)</f>
        <v>0</v>
      </c>
      <c r="P117" s="4" t="n">
        <f aca="false">P116+O117</f>
        <v>389.73</v>
      </c>
      <c r="Q117" s="5" t="str">
        <f aca="false">IF(O117=0, "N/A", IF(O117&gt;0,TRUE()))</f>
        <v>N/A</v>
      </c>
      <c r="R117" s="3" t="n">
        <f aca="false">AND(TIMEVALUE(B117)&gt;=TIME(8,0,0), TIMEVALUE(B117)&lt;=TIME(16,30,0))</f>
        <v>0</v>
      </c>
      <c r="S117" s="5" t="n">
        <f aca="false">IF(AND(Q117=1, R117=1), O117, 0)</f>
        <v>0</v>
      </c>
      <c r="T117" s="4" t="n">
        <f aca="false">T116+S117</f>
        <v>712.27</v>
      </c>
    </row>
    <row r="118" customFormat="false" ht="12.8" hidden="false" customHeight="false" outlineLevel="0" collapsed="false">
      <c r="A118" s="1" t="n">
        <v>46184</v>
      </c>
      <c r="B118" s="2" t="s">
        <v>37</v>
      </c>
      <c r="C118" s="1" t="n">
        <v>46184</v>
      </c>
      <c r="D118" s="2" t="s">
        <v>130</v>
      </c>
      <c r="E118" s="0" t="s">
        <v>10</v>
      </c>
      <c r="F118" s="0" t="s">
        <v>62</v>
      </c>
      <c r="G118" s="0" t="n">
        <v>24227.2</v>
      </c>
      <c r="H118" s="0" t="n">
        <v>24211.7</v>
      </c>
      <c r="I118" s="0" t="n">
        <v>15.5</v>
      </c>
      <c r="J118" s="0" t="n">
        <f aca="false"> HLOOKUP(E118, $E$2:$I$3, 2, 0)</f>
        <v>0.37</v>
      </c>
      <c r="K118" s="0" t="n">
        <v>5.74</v>
      </c>
      <c r="L118" s="3" t="n">
        <f aca="false">IF($K118&gt;0,TRUE())</f>
        <v>1</v>
      </c>
      <c r="M118" s="4" t="n">
        <f aca="false">M117+K118</f>
        <v>116.14</v>
      </c>
      <c r="N118" s="4" t="str">
        <f aca="false">VLOOKUP(C118, Sheet2!$A$2:$E$166,  5)</f>
        <v>NO</v>
      </c>
      <c r="O118" s="4" t="n">
        <f aca="false">IF(N118="YES", K118, 0)</f>
        <v>0</v>
      </c>
      <c r="P118" s="4" t="n">
        <f aca="false">P117+O118</f>
        <v>389.73</v>
      </c>
      <c r="Q118" s="5" t="str">
        <f aca="false">IF(O118=0, "N/A", IF(O118&gt;0,TRUE()))</f>
        <v>N/A</v>
      </c>
      <c r="R118" s="3" t="n">
        <f aca="false">AND(TIMEVALUE(B118)&gt;=TIME(8,0,0), TIMEVALUE(B118)&lt;=TIME(16,30,0))</f>
        <v>1</v>
      </c>
      <c r="S118" s="5" t="n">
        <f aca="false">IF(AND(Q118=1, R118=1), O118, 0)</f>
        <v>0</v>
      </c>
      <c r="T118" s="4" t="n">
        <f aca="false">T117+S118</f>
        <v>712.27</v>
      </c>
    </row>
    <row r="119" customFormat="false" ht="12.8" hidden="false" customHeight="false" outlineLevel="0" collapsed="false">
      <c r="A119" s="1" t="n">
        <v>46185</v>
      </c>
      <c r="B119" s="2" t="s">
        <v>53</v>
      </c>
      <c r="C119" s="1" t="n">
        <v>46185</v>
      </c>
      <c r="D119" s="2" t="s">
        <v>58</v>
      </c>
      <c r="E119" s="0" t="s">
        <v>9</v>
      </c>
      <c r="F119" s="0" t="s">
        <v>34</v>
      </c>
      <c r="G119" s="0" t="n">
        <v>10380.5</v>
      </c>
      <c r="H119" s="0" t="n">
        <v>10453.4</v>
      </c>
      <c r="I119" s="0" t="n">
        <v>72.9</v>
      </c>
      <c r="J119" s="0" t="n">
        <f aca="false"> HLOOKUP(E119, $E$2:$I$3, 2, 0)</f>
        <v>0.8</v>
      </c>
      <c r="K119" s="0" t="n">
        <v>64.15</v>
      </c>
      <c r="L119" s="3" t="n">
        <f aca="false">IF($K119&gt;0,TRUE())</f>
        <v>1</v>
      </c>
      <c r="M119" s="4" t="n">
        <f aca="false">M118+K119</f>
        <v>180.29</v>
      </c>
      <c r="N119" s="4" t="str">
        <f aca="false">VLOOKUP(C119, Sheet2!$A$2:$E$166,  5)</f>
        <v>NO</v>
      </c>
      <c r="O119" s="4" t="n">
        <f aca="false">IF(N119="YES", K119, 0)</f>
        <v>0</v>
      </c>
      <c r="P119" s="4" t="n">
        <f aca="false">P118+O119</f>
        <v>389.73</v>
      </c>
      <c r="Q119" s="5" t="str">
        <f aca="false">IF(O119=0, "N/A", IF(O119&gt;0,TRUE()))</f>
        <v>N/A</v>
      </c>
      <c r="R119" s="3" t="n">
        <f aca="false">AND(TIMEVALUE(B119)&gt;=TIME(8,0,0), TIMEVALUE(B119)&lt;=TIME(16,30,0))</f>
        <v>0</v>
      </c>
      <c r="S119" s="5" t="n">
        <f aca="false">IF(AND(Q119=1, R119=1), O119, 0)</f>
        <v>0</v>
      </c>
      <c r="T119" s="4" t="n">
        <f aca="false">T118+S119</f>
        <v>712.27</v>
      </c>
    </row>
    <row r="120" customFormat="false" ht="12.8" hidden="false" customHeight="false" outlineLevel="0" collapsed="false">
      <c r="A120" s="1" t="n">
        <v>46185</v>
      </c>
      <c r="B120" s="2" t="s">
        <v>111</v>
      </c>
      <c r="C120" s="1" t="n">
        <v>46185</v>
      </c>
      <c r="D120" s="2" t="s">
        <v>131</v>
      </c>
      <c r="E120" s="0" t="s">
        <v>4</v>
      </c>
      <c r="F120" s="0" t="s">
        <v>34</v>
      </c>
      <c r="G120" s="0" t="n">
        <v>8312.7</v>
      </c>
      <c r="H120" s="0" t="n">
        <v>8347.1</v>
      </c>
      <c r="I120" s="0" t="n">
        <v>34.4</v>
      </c>
      <c r="J120" s="0" t="n">
        <f aca="false"> HLOOKUP(E120, $E$2:$I$3, 2, 0)</f>
        <v>1</v>
      </c>
      <c r="K120" s="0" t="n">
        <v>34.4</v>
      </c>
      <c r="L120" s="3" t="n">
        <f aca="false">IF($K120&gt;0,TRUE())</f>
        <v>1</v>
      </c>
      <c r="M120" s="4" t="n">
        <f aca="false">M119+K120</f>
        <v>214.69</v>
      </c>
      <c r="N120" s="4" t="str">
        <f aca="false">VLOOKUP(C120, Sheet2!$A$2:$E$166,  5)</f>
        <v>NO</v>
      </c>
      <c r="O120" s="4" t="n">
        <f aca="false">IF(N120="YES", K120, 0)</f>
        <v>0</v>
      </c>
      <c r="P120" s="4" t="n">
        <f aca="false">P119+O120</f>
        <v>389.73</v>
      </c>
      <c r="Q120" s="5" t="str">
        <f aca="false">IF(O120=0, "N/A", IF(O120&gt;0,TRUE()))</f>
        <v>N/A</v>
      </c>
      <c r="R120" s="3" t="n">
        <f aca="false">AND(TIMEVALUE(B120)&gt;=TIME(8,0,0), TIMEVALUE(B120)&lt;=TIME(16,30,0))</f>
        <v>1</v>
      </c>
      <c r="S120" s="5" t="n">
        <f aca="false">IF(AND(Q120=1, R120=1), O120, 0)</f>
        <v>0</v>
      </c>
      <c r="T120" s="4" t="n">
        <f aca="false">T119+S120</f>
        <v>712.27</v>
      </c>
    </row>
    <row r="121" customFormat="false" ht="12.8" hidden="false" customHeight="false" outlineLevel="0" collapsed="false">
      <c r="A121" s="1" t="n">
        <v>46185</v>
      </c>
      <c r="B121" s="2" t="s">
        <v>153</v>
      </c>
      <c r="C121" s="1" t="n">
        <v>46185</v>
      </c>
      <c r="D121" s="2" t="s">
        <v>59</v>
      </c>
      <c r="E121" s="0" t="s">
        <v>10</v>
      </c>
      <c r="F121" s="0" t="s">
        <v>62</v>
      </c>
      <c r="G121" s="0" t="n">
        <v>24632.7</v>
      </c>
      <c r="H121" s="0" t="n">
        <v>24664.2</v>
      </c>
      <c r="I121" s="0" t="n">
        <v>-31.5</v>
      </c>
      <c r="J121" s="0" t="n">
        <f aca="false"> HLOOKUP(E121, $E$2:$I$3, 2, 0)</f>
        <v>0.37</v>
      </c>
      <c r="K121" s="0" t="n">
        <v>-11.65</v>
      </c>
      <c r="L121" s="3" t="n">
        <f aca="false">IF($K121&gt;0,TRUE())</f>
        <v>0</v>
      </c>
      <c r="M121" s="4" t="n">
        <f aca="false">M120+K121</f>
        <v>203.04</v>
      </c>
      <c r="N121" s="4" t="str">
        <f aca="false">VLOOKUP(C121, Sheet2!$A$2:$E$166,  5)</f>
        <v>NO</v>
      </c>
      <c r="O121" s="4" t="n">
        <f aca="false">IF(N121="YES", K121, 0)</f>
        <v>0</v>
      </c>
      <c r="P121" s="4" t="n">
        <f aca="false">P120+O121</f>
        <v>389.73</v>
      </c>
      <c r="Q121" s="5" t="str">
        <f aca="false">IF(O121=0, "N/A", IF(O121&gt;0,TRUE()))</f>
        <v>N/A</v>
      </c>
      <c r="R121" s="3" t="n">
        <f aca="false">AND(TIMEVALUE(B121)&gt;=TIME(8,0,0), TIMEVALUE(B121)&lt;=TIME(16,30,0))</f>
        <v>0</v>
      </c>
      <c r="S121" s="5" t="n">
        <f aca="false">IF(AND(Q121=1, R121=1), O121, 0)</f>
        <v>0</v>
      </c>
      <c r="T121" s="4" t="n">
        <f aca="false">T120+S121</f>
        <v>712.27</v>
      </c>
    </row>
    <row r="122" customFormat="false" ht="12.8" hidden="false" customHeight="false" outlineLevel="0" collapsed="false">
      <c r="A122" s="1" t="n">
        <v>46188</v>
      </c>
      <c r="B122" s="2" t="s">
        <v>80</v>
      </c>
      <c r="C122" s="1" t="n">
        <v>46188</v>
      </c>
      <c r="D122" s="2" t="s">
        <v>59</v>
      </c>
      <c r="E122" s="0" t="s">
        <v>9</v>
      </c>
      <c r="F122" s="0" t="s">
        <v>34</v>
      </c>
      <c r="G122" s="0" t="n">
        <v>10409.5</v>
      </c>
      <c r="H122" s="0" t="n">
        <v>10410.4</v>
      </c>
      <c r="I122" s="0" t="n">
        <v>0.9</v>
      </c>
      <c r="J122" s="0" t="n">
        <f aca="false"> HLOOKUP(E122, $E$2:$I$3, 2, 0)</f>
        <v>0.8</v>
      </c>
      <c r="K122" s="0" t="n">
        <v>0.72</v>
      </c>
      <c r="L122" s="3" t="n">
        <f aca="false">IF($K122&gt;0,TRUE())</f>
        <v>1</v>
      </c>
      <c r="M122" s="4" t="n">
        <f aca="false">M121+K122</f>
        <v>203.76</v>
      </c>
      <c r="N122" s="4" t="str">
        <f aca="false">VLOOKUP(C122, Sheet2!$A$2:$E$166,  5)</f>
        <v>NO</v>
      </c>
      <c r="O122" s="4" t="n">
        <f aca="false">IF(N122="YES", K122, 0)</f>
        <v>0</v>
      </c>
      <c r="P122" s="4" t="n">
        <f aca="false">P121+O122</f>
        <v>389.73</v>
      </c>
      <c r="Q122" s="5" t="str">
        <f aca="false">IF(O122=0, "N/A", IF(O122&gt;0,TRUE()))</f>
        <v>N/A</v>
      </c>
      <c r="R122" s="3" t="n">
        <f aca="false">AND(TIMEVALUE(B122)&gt;=TIME(8,0,0), TIMEVALUE(B122)&lt;=TIME(16,30,0))</f>
        <v>0</v>
      </c>
      <c r="S122" s="5" t="n">
        <f aca="false">IF(AND(Q122=1, R122=1), O122, 0)</f>
        <v>0</v>
      </c>
      <c r="T122" s="4" t="n">
        <f aca="false">T121+S122</f>
        <v>712.27</v>
      </c>
    </row>
    <row r="123" customFormat="false" ht="12.8" hidden="false" customHeight="false" outlineLevel="0" collapsed="false">
      <c r="A123" s="1" t="n">
        <v>46189</v>
      </c>
      <c r="B123" s="2" t="s">
        <v>138</v>
      </c>
      <c r="C123" s="1" t="n">
        <v>46189</v>
      </c>
      <c r="D123" s="2" t="s">
        <v>101</v>
      </c>
      <c r="E123" s="0" t="s">
        <v>9</v>
      </c>
      <c r="F123" s="0" t="s">
        <v>34</v>
      </c>
      <c r="G123" s="0" t="n">
        <v>10426.9</v>
      </c>
      <c r="H123" s="0" t="n">
        <v>10436.5</v>
      </c>
      <c r="I123" s="0" t="n">
        <v>9.6</v>
      </c>
      <c r="J123" s="0" t="n">
        <f aca="false"> HLOOKUP(E123, $E$2:$I$3, 2, 0)</f>
        <v>0.8</v>
      </c>
      <c r="K123" s="0" t="n">
        <v>8.45</v>
      </c>
      <c r="L123" s="3" t="n">
        <f aca="false">IF($K123&gt;0,TRUE())</f>
        <v>1</v>
      </c>
      <c r="M123" s="4" t="n">
        <f aca="false">M122+K123</f>
        <v>212.21</v>
      </c>
      <c r="N123" s="4" t="str">
        <f aca="false">VLOOKUP(C123, Sheet2!$A$2:$E$166,  5)</f>
        <v>YES</v>
      </c>
      <c r="O123" s="4" t="n">
        <f aca="false">IF(N123="YES", K123, 0)</f>
        <v>8.45</v>
      </c>
      <c r="P123" s="4" t="n">
        <f aca="false">P122+O123</f>
        <v>398.18</v>
      </c>
      <c r="Q123" s="3" t="b">
        <f aca="false">IF(O123=0, "N/A", IF(O123&gt;0,TRUE()))</f>
        <v>1</v>
      </c>
      <c r="R123" s="3" t="n">
        <f aca="false">AND(TIMEVALUE(B123)&gt;=TIME(8,0,0), TIMEVALUE(B123)&lt;=TIME(16,30,0))</f>
        <v>0</v>
      </c>
      <c r="S123" s="5" t="n">
        <f aca="false">IF(AND(Q123=1, R123=1), O123, 0)</f>
        <v>0</v>
      </c>
      <c r="T123" s="4" t="n">
        <f aca="false">T122+S123</f>
        <v>712.27</v>
      </c>
    </row>
    <row r="124" customFormat="false" ht="12.8" hidden="false" customHeight="false" outlineLevel="0" collapsed="false">
      <c r="A124" s="1" t="n">
        <v>46191</v>
      </c>
      <c r="B124" s="2" t="s">
        <v>79</v>
      </c>
      <c r="C124" s="1" t="n">
        <v>46191</v>
      </c>
      <c r="D124" s="2" t="s">
        <v>112</v>
      </c>
      <c r="E124" s="0" t="s">
        <v>9</v>
      </c>
      <c r="F124" s="0" t="s">
        <v>34</v>
      </c>
      <c r="G124" s="0" t="n">
        <v>10416.6</v>
      </c>
      <c r="H124" s="0" t="n">
        <v>10417.9</v>
      </c>
      <c r="I124" s="0" t="n">
        <v>1.3</v>
      </c>
      <c r="J124" s="0" t="n">
        <f aca="false"> HLOOKUP(E124, $E$2:$I$3, 2, 0)</f>
        <v>0.8</v>
      </c>
      <c r="K124" s="0" t="n">
        <v>1.04</v>
      </c>
      <c r="L124" s="3" t="n">
        <f aca="false">IF($K124&gt;0,TRUE())</f>
        <v>1</v>
      </c>
      <c r="M124" s="4" t="n">
        <f aca="false">M123+K124</f>
        <v>213.25</v>
      </c>
      <c r="N124" s="4" t="str">
        <f aca="false">VLOOKUP(C124, Sheet2!$A$2:$E$166,  5)</f>
        <v>YES</v>
      </c>
      <c r="O124" s="4" t="n">
        <f aca="false">IF(N124="YES", K124, 0)</f>
        <v>1.04</v>
      </c>
      <c r="P124" s="4" t="n">
        <f aca="false">P123+O124</f>
        <v>399.22</v>
      </c>
      <c r="Q124" s="3" t="b">
        <f aca="false">IF(O124=0, "N/A", IF(O124&gt;0,TRUE()))</f>
        <v>1</v>
      </c>
      <c r="R124" s="3" t="n">
        <f aca="false">AND(TIMEVALUE(B124)&gt;=TIME(8,0,0), TIMEVALUE(B124)&lt;=TIME(16,30,0))</f>
        <v>1</v>
      </c>
      <c r="S124" s="5" t="n">
        <f aca="false">IF(AND(Q124=1, R124=1), O124, 0)</f>
        <v>1.04</v>
      </c>
      <c r="T124" s="4" t="n">
        <f aca="false">T123+S124</f>
        <v>713.31</v>
      </c>
    </row>
    <row r="125" customFormat="false" ht="12.8" hidden="false" customHeight="false" outlineLevel="0" collapsed="false">
      <c r="A125" s="1" t="n">
        <v>46192</v>
      </c>
      <c r="B125" s="2" t="s">
        <v>154</v>
      </c>
      <c r="C125" s="1" t="n">
        <v>46192</v>
      </c>
      <c r="D125" s="2" t="s">
        <v>74</v>
      </c>
      <c r="E125" s="0" t="s">
        <v>10</v>
      </c>
      <c r="F125" s="0" t="s">
        <v>34</v>
      </c>
      <c r="G125" s="0" t="n">
        <v>24921.3</v>
      </c>
      <c r="H125" s="0" t="n">
        <v>25075.2</v>
      </c>
      <c r="I125" s="0" t="n">
        <v>153.9</v>
      </c>
      <c r="J125" s="0" t="n">
        <f aca="false"> HLOOKUP(E125, $E$2:$I$3, 2, 0)</f>
        <v>0.37</v>
      </c>
      <c r="K125" s="0" t="n">
        <v>61.56</v>
      </c>
      <c r="L125" s="3" t="n">
        <f aca="false">IF($K125&gt;0,TRUE())</f>
        <v>1</v>
      </c>
      <c r="M125" s="4" t="n">
        <f aca="false">M124+K125</f>
        <v>274.81</v>
      </c>
      <c r="N125" s="4" t="str">
        <f aca="false">VLOOKUP(C125, Sheet2!$A$2:$E$166,  5)</f>
        <v>NO</v>
      </c>
      <c r="O125" s="4" t="n">
        <f aca="false">IF(N125="YES", K125, 0)</f>
        <v>0</v>
      </c>
      <c r="P125" s="4" t="n">
        <f aca="false">P124+O125</f>
        <v>399.22</v>
      </c>
      <c r="Q125" s="5" t="str">
        <f aca="false">IF(O125=0, "N/A", IF(O125&gt;0,TRUE()))</f>
        <v>N/A</v>
      </c>
      <c r="R125" s="3" t="n">
        <f aca="false">AND(TIMEVALUE(B125)&gt;=TIME(8,0,0), TIMEVALUE(B125)&lt;=TIME(16,30,0))</f>
        <v>0</v>
      </c>
      <c r="S125" s="5" t="n">
        <f aca="false">IF(AND(Q125=1, R125=1), O125, 0)</f>
        <v>0</v>
      </c>
      <c r="T125" s="4" t="n">
        <f aca="false">T124+S125</f>
        <v>713.31</v>
      </c>
    </row>
    <row r="126" customFormat="false" ht="12.8" hidden="false" customHeight="false" outlineLevel="0" collapsed="false">
      <c r="A126" s="1" t="n">
        <v>46192</v>
      </c>
      <c r="B126" s="2" t="s">
        <v>143</v>
      </c>
      <c r="C126" s="1" t="n">
        <v>46192</v>
      </c>
      <c r="D126" s="2" t="s">
        <v>59</v>
      </c>
      <c r="E126" s="0" t="s">
        <v>4</v>
      </c>
      <c r="F126" s="0" t="s">
        <v>34</v>
      </c>
      <c r="G126" s="0" t="n">
        <v>8424.9</v>
      </c>
      <c r="H126" s="0" t="n">
        <v>8419.2</v>
      </c>
      <c r="I126" s="0" t="n">
        <v>-5.7</v>
      </c>
      <c r="J126" s="0" t="n">
        <f aca="false"> HLOOKUP(E126, $E$2:$I$3, 2, 0)</f>
        <v>1</v>
      </c>
      <c r="K126" s="0" t="n">
        <v>-5.7</v>
      </c>
      <c r="L126" s="3" t="n">
        <f aca="false">IF($K126&gt;0,TRUE())</f>
        <v>0</v>
      </c>
      <c r="M126" s="4" t="n">
        <f aca="false">M125+K126</f>
        <v>269.11</v>
      </c>
      <c r="N126" s="4" t="str">
        <f aca="false">VLOOKUP(C126, Sheet2!$A$2:$E$166,  5)</f>
        <v>NO</v>
      </c>
      <c r="O126" s="4" t="n">
        <f aca="false">IF(N126="YES", K126, 0)</f>
        <v>0</v>
      </c>
      <c r="P126" s="4" t="n">
        <f aca="false">P125+O126</f>
        <v>399.22</v>
      </c>
      <c r="Q126" s="5" t="str">
        <f aca="false">IF(O126=0, "N/A", IF(O126&gt;0,TRUE()))</f>
        <v>N/A</v>
      </c>
      <c r="R126" s="3" t="n">
        <f aca="false">AND(TIMEVALUE(B126)&gt;=TIME(8,0,0), TIMEVALUE(B126)&lt;=TIME(16,30,0))</f>
        <v>0</v>
      </c>
      <c r="S126" s="5" t="n">
        <f aca="false">IF(AND(Q126=1, R126=1), O126, 0)</f>
        <v>0</v>
      </c>
      <c r="T126" s="4" t="n">
        <f aca="false">T125+S126</f>
        <v>713.31</v>
      </c>
    </row>
    <row r="127" customFormat="false" ht="12.8" hidden="false" customHeight="false" outlineLevel="0" collapsed="false">
      <c r="A127" s="1" t="n">
        <v>46195</v>
      </c>
      <c r="B127" s="2" t="s">
        <v>37</v>
      </c>
      <c r="C127" s="1" t="n">
        <v>46195</v>
      </c>
      <c r="D127" s="2" t="s">
        <v>98</v>
      </c>
      <c r="E127" s="0" t="s">
        <v>4</v>
      </c>
      <c r="F127" s="0" t="s">
        <v>34</v>
      </c>
      <c r="G127" s="0" t="n">
        <v>8397.4</v>
      </c>
      <c r="H127" s="0" t="n">
        <v>8367.1</v>
      </c>
      <c r="I127" s="0" t="n">
        <v>-30.3</v>
      </c>
      <c r="J127" s="0" t="n">
        <f aca="false"> HLOOKUP(E127, $E$2:$I$3, 2, 0)</f>
        <v>1</v>
      </c>
      <c r="K127" s="0" t="n">
        <v>-30.3</v>
      </c>
      <c r="L127" s="3" t="n">
        <f aca="false">IF($K127&gt;0,TRUE())</f>
        <v>0</v>
      </c>
      <c r="M127" s="4" t="n">
        <f aca="false">M126+K127</f>
        <v>238.81</v>
      </c>
      <c r="N127" s="4" t="str">
        <f aca="false">VLOOKUP(C127, Sheet2!$A$2:$E$166,  5)</f>
        <v>NO</v>
      </c>
      <c r="O127" s="4" t="n">
        <f aca="false">IF(N127="YES", K127, 0)</f>
        <v>0</v>
      </c>
      <c r="P127" s="4" t="n">
        <f aca="false">P126+O127</f>
        <v>399.22</v>
      </c>
      <c r="Q127" s="5" t="str">
        <f aca="false">IF(O127=0, "N/A", IF(O127&gt;0,TRUE()))</f>
        <v>N/A</v>
      </c>
      <c r="R127" s="3" t="n">
        <f aca="false">AND(TIMEVALUE(B127)&gt;=TIME(8,0,0), TIMEVALUE(B127)&lt;=TIME(16,30,0))</f>
        <v>1</v>
      </c>
      <c r="S127" s="5" t="n">
        <f aca="false">IF(AND(Q127=1, R127=1), O127, 0)</f>
        <v>0</v>
      </c>
      <c r="T127" s="4" t="n">
        <f aca="false">T126+S127</f>
        <v>713.31</v>
      </c>
    </row>
    <row r="128" customFormat="false" ht="12.8" hidden="false" customHeight="false" outlineLevel="0" collapsed="false">
      <c r="A128" s="1" t="n">
        <v>46195</v>
      </c>
      <c r="B128" s="2" t="s">
        <v>92</v>
      </c>
      <c r="C128" s="1" t="n">
        <v>46195</v>
      </c>
      <c r="D128" s="2" t="s">
        <v>123</v>
      </c>
      <c r="E128" s="0" t="s">
        <v>10</v>
      </c>
      <c r="F128" s="0" t="s">
        <v>34</v>
      </c>
      <c r="G128" s="0" t="n">
        <v>24927.4</v>
      </c>
      <c r="H128" s="0" t="n">
        <v>24983.1</v>
      </c>
      <c r="I128" s="0" t="n">
        <v>55.7</v>
      </c>
      <c r="J128" s="0" t="n">
        <f aca="false"> HLOOKUP(E128, $E$2:$I$3, 2, 0)</f>
        <v>0.37</v>
      </c>
      <c r="K128" s="0" t="n">
        <v>20.61</v>
      </c>
      <c r="L128" s="3" t="n">
        <f aca="false">IF($K128&gt;0,TRUE())</f>
        <v>1</v>
      </c>
      <c r="M128" s="4" t="n">
        <f aca="false">M127+K128</f>
        <v>259.42</v>
      </c>
      <c r="N128" s="4" t="str">
        <f aca="false">VLOOKUP(C128, Sheet2!$A$2:$E$166,  5)</f>
        <v>NO</v>
      </c>
      <c r="O128" s="4" t="n">
        <f aca="false">IF(N128="YES", K128, 0)</f>
        <v>0</v>
      </c>
      <c r="P128" s="4" t="n">
        <f aca="false">P127+O128</f>
        <v>399.22</v>
      </c>
      <c r="Q128" s="5" t="str">
        <f aca="false">IF(O128=0, "N/A", IF(O128&gt;0,TRUE()))</f>
        <v>N/A</v>
      </c>
      <c r="R128" s="3" t="n">
        <f aca="false">AND(TIMEVALUE(B128)&gt;=TIME(8,0,0), TIMEVALUE(B128)&lt;=TIME(16,30,0))</f>
        <v>1</v>
      </c>
      <c r="S128" s="5" t="n">
        <f aca="false">IF(AND(Q128=1, R128=1), O128, 0)</f>
        <v>0</v>
      </c>
      <c r="T128" s="4" t="n">
        <f aca="false">T127+S128</f>
        <v>713.31</v>
      </c>
    </row>
    <row r="129" customFormat="false" ht="12.8" hidden="false" customHeight="false" outlineLevel="0" collapsed="false">
      <c r="A129" s="1" t="n">
        <v>46196</v>
      </c>
      <c r="B129" s="2" t="s">
        <v>78</v>
      </c>
      <c r="C129" s="1" t="n">
        <v>46196</v>
      </c>
      <c r="D129" s="2" t="s">
        <v>121</v>
      </c>
      <c r="E129" s="0" t="s">
        <v>4</v>
      </c>
      <c r="F129" s="0" t="s">
        <v>34</v>
      </c>
      <c r="G129" s="0" t="n">
        <v>8328.8</v>
      </c>
      <c r="H129" s="0" t="n">
        <v>8335.6</v>
      </c>
      <c r="I129" s="0" t="n">
        <v>6.8</v>
      </c>
      <c r="J129" s="0" t="n">
        <f aca="false"> HLOOKUP(E129, $E$2:$I$3, 2, 0)</f>
        <v>1</v>
      </c>
      <c r="K129" s="0" t="n">
        <v>6.8</v>
      </c>
      <c r="L129" s="3" t="n">
        <f aca="false">IF($K129&gt;0,TRUE())</f>
        <v>1</v>
      </c>
      <c r="M129" s="4" t="n">
        <f aca="false">M128+K129</f>
        <v>266.22</v>
      </c>
      <c r="N129" s="4" t="str">
        <f aca="false">VLOOKUP(C129, Sheet2!$A$2:$E$166,  5)</f>
        <v>NO</v>
      </c>
      <c r="O129" s="4" t="n">
        <f aca="false">IF(N129="YES", K129, 0)</f>
        <v>0</v>
      </c>
      <c r="P129" s="4" t="n">
        <f aca="false">P128+O129</f>
        <v>399.22</v>
      </c>
      <c r="Q129" s="5" t="str">
        <f aca="false">IF(O129=0, "N/A", IF(O129&gt;0,TRUE()))</f>
        <v>N/A</v>
      </c>
      <c r="R129" s="3" t="n">
        <f aca="false">AND(TIMEVALUE(B129)&gt;=TIME(8,0,0), TIMEVALUE(B129)&lt;=TIME(16,30,0))</f>
        <v>1</v>
      </c>
      <c r="S129" s="5" t="n">
        <f aca="false">IF(AND(Q129=1, R129=1), O129, 0)</f>
        <v>0</v>
      </c>
      <c r="T129" s="4" t="n">
        <f aca="false">T128+S129</f>
        <v>713.31</v>
      </c>
    </row>
    <row r="130" customFormat="false" ht="12.8" hidden="false" customHeight="false" outlineLevel="0" collapsed="false">
      <c r="A130" s="1" t="n">
        <v>46197</v>
      </c>
      <c r="B130" s="2" t="s">
        <v>37</v>
      </c>
      <c r="C130" s="1" t="n">
        <v>46197</v>
      </c>
      <c r="D130" s="2" t="s">
        <v>115</v>
      </c>
      <c r="E130" s="0" t="s">
        <v>10</v>
      </c>
      <c r="F130" s="0" t="s">
        <v>34</v>
      </c>
      <c r="G130" s="0" t="n">
        <v>24722.6</v>
      </c>
      <c r="H130" s="0" t="n">
        <v>24646.5</v>
      </c>
      <c r="I130" s="0" t="n">
        <v>-76.1</v>
      </c>
      <c r="J130" s="0" t="n">
        <f aca="false"> HLOOKUP(E130, $E$2:$I$3, 2, 0)</f>
        <v>0.37</v>
      </c>
      <c r="K130" s="0" t="n">
        <v>-28.16</v>
      </c>
      <c r="L130" s="3" t="n">
        <f aca="false">IF($K130&gt;0,TRUE())</f>
        <v>0</v>
      </c>
      <c r="M130" s="4" t="n">
        <f aca="false">M129+K130</f>
        <v>238.06</v>
      </c>
      <c r="N130" s="4" t="str">
        <f aca="false">VLOOKUP(C130, Sheet2!$A$2:$E$166,  5)</f>
        <v>NO</v>
      </c>
      <c r="O130" s="4" t="n">
        <f aca="false">IF(N130="YES", K130, 0)</f>
        <v>0</v>
      </c>
      <c r="P130" s="4" t="n">
        <f aca="false">P129+O130</f>
        <v>399.22</v>
      </c>
      <c r="Q130" s="5" t="str">
        <f aca="false">IF(O130=0, "N/A", IF(O130&gt;0,TRUE()))</f>
        <v>N/A</v>
      </c>
      <c r="R130" s="3" t="n">
        <f aca="false">AND(TIMEVALUE(B130)&gt;=TIME(8,0,0), TIMEVALUE(B130)&lt;=TIME(16,30,0))</f>
        <v>1</v>
      </c>
      <c r="S130" s="5" t="n">
        <f aca="false">IF(AND(Q130=1, R130=1), O130, 0)</f>
        <v>0</v>
      </c>
      <c r="T130" s="4" t="n">
        <f aca="false">T129+S130</f>
        <v>713.31</v>
      </c>
    </row>
    <row r="131" customFormat="false" ht="12.8" hidden="false" customHeight="false" outlineLevel="0" collapsed="false">
      <c r="A131" s="1" t="n">
        <v>46197</v>
      </c>
      <c r="B131" s="2" t="s">
        <v>47</v>
      </c>
      <c r="C131" s="1" t="n">
        <v>46197</v>
      </c>
      <c r="D131" s="2" t="s">
        <v>63</v>
      </c>
      <c r="E131" s="0" t="s">
        <v>10</v>
      </c>
      <c r="F131" s="0" t="s">
        <v>34</v>
      </c>
      <c r="G131" s="0" t="n">
        <v>24670.9</v>
      </c>
      <c r="H131" s="0" t="n">
        <v>24609.9</v>
      </c>
      <c r="I131" s="0" t="n">
        <v>-61</v>
      </c>
      <c r="J131" s="0" t="n">
        <f aca="false"> HLOOKUP(E131, $E$2:$I$3, 2, 0)</f>
        <v>0.37</v>
      </c>
      <c r="K131" s="0" t="n">
        <v>-22.57</v>
      </c>
      <c r="L131" s="3" t="n">
        <f aca="false">IF($K131&gt;0,TRUE())</f>
        <v>0</v>
      </c>
      <c r="M131" s="4" t="n">
        <f aca="false">M130+K131</f>
        <v>215.49</v>
      </c>
      <c r="N131" s="4" t="str">
        <f aca="false">VLOOKUP(C131, Sheet2!$A$2:$E$166,  5)</f>
        <v>NO</v>
      </c>
      <c r="O131" s="4" t="n">
        <f aca="false">IF(N131="YES", K131, 0)</f>
        <v>0</v>
      </c>
      <c r="P131" s="4" t="n">
        <f aca="false">P130+O131</f>
        <v>399.22</v>
      </c>
      <c r="Q131" s="5" t="str">
        <f aca="false">IF(O131=0, "N/A", IF(O131&gt;0,TRUE()))</f>
        <v>N/A</v>
      </c>
      <c r="R131" s="3" t="n">
        <f aca="false">AND(TIMEVALUE(B131)&gt;=TIME(8,0,0), TIMEVALUE(B131)&lt;=TIME(16,30,0))</f>
        <v>1</v>
      </c>
      <c r="S131" s="5" t="n">
        <f aca="false">IF(AND(Q131=1, R131=1), O131, 0)</f>
        <v>0</v>
      </c>
      <c r="T131" s="4" t="n">
        <f aca="false">T130+S131</f>
        <v>713.31</v>
      </c>
    </row>
    <row r="132" customFormat="false" ht="12.8" hidden="false" customHeight="false" outlineLevel="0" collapsed="false">
      <c r="A132" s="1" t="n">
        <v>46197</v>
      </c>
      <c r="B132" s="2" t="s">
        <v>95</v>
      </c>
      <c r="C132" s="1" t="n">
        <v>46197</v>
      </c>
      <c r="D132" s="2" t="s">
        <v>131</v>
      </c>
      <c r="E132" s="0" t="s">
        <v>10</v>
      </c>
      <c r="F132" s="0" t="s">
        <v>34</v>
      </c>
      <c r="G132" s="0" t="n">
        <v>24631</v>
      </c>
      <c r="H132" s="0" t="n">
        <v>24664.6</v>
      </c>
      <c r="I132" s="0" t="n">
        <v>33.6</v>
      </c>
      <c r="J132" s="0" t="n">
        <f aca="false"> HLOOKUP(E132, $E$2:$I$3, 2, 0)</f>
        <v>0.37</v>
      </c>
      <c r="K132" s="0" t="n">
        <v>13.44</v>
      </c>
      <c r="L132" s="3" t="n">
        <f aca="false">IF($K132&gt;0,TRUE())</f>
        <v>1</v>
      </c>
      <c r="M132" s="4" t="n">
        <f aca="false">M131+K132</f>
        <v>228.93</v>
      </c>
      <c r="N132" s="4" t="str">
        <f aca="false">VLOOKUP(C132, Sheet2!$A$2:$E$166,  5)</f>
        <v>NO</v>
      </c>
      <c r="O132" s="4" t="n">
        <f aca="false">IF(N132="YES", K132, 0)</f>
        <v>0</v>
      </c>
      <c r="P132" s="4" t="n">
        <f aca="false">P131+O132</f>
        <v>399.22</v>
      </c>
      <c r="Q132" s="5" t="str">
        <f aca="false">IF(O132=0, "N/A", IF(O132&gt;0,TRUE()))</f>
        <v>N/A</v>
      </c>
      <c r="R132" s="3" t="n">
        <f aca="false">AND(TIMEVALUE(B132)&gt;=TIME(8,0,0), TIMEVALUE(B132)&lt;=TIME(16,30,0))</f>
        <v>1</v>
      </c>
      <c r="S132" s="5" t="n">
        <f aca="false">IF(AND(Q132=1, R132=1), O132, 0)</f>
        <v>0</v>
      </c>
      <c r="T132" s="4" t="n">
        <f aca="false">T131+S132</f>
        <v>713.31</v>
      </c>
    </row>
    <row r="133" customFormat="false" ht="12.8" hidden="false" customHeight="false" outlineLevel="0" collapsed="false">
      <c r="A133" s="1" t="n">
        <v>46198</v>
      </c>
      <c r="B133" s="2" t="s">
        <v>67</v>
      </c>
      <c r="C133" s="1" t="n">
        <v>46198</v>
      </c>
      <c r="D133" s="2" t="s">
        <v>55</v>
      </c>
      <c r="E133" s="0" t="s">
        <v>4</v>
      </c>
      <c r="F133" s="0" t="s">
        <v>34</v>
      </c>
      <c r="G133" s="0" t="n">
        <v>8381.5</v>
      </c>
      <c r="H133" s="0" t="n">
        <v>8413.4</v>
      </c>
      <c r="I133" s="0" t="n">
        <v>31.9</v>
      </c>
      <c r="J133" s="0" t="n">
        <f aca="false"> HLOOKUP(E133, $E$2:$I$3, 2, 0)</f>
        <v>1</v>
      </c>
      <c r="K133" s="0" t="n">
        <v>31.9</v>
      </c>
      <c r="L133" s="3" t="n">
        <f aca="false">IF($K133&gt;0,TRUE())</f>
        <v>1</v>
      </c>
      <c r="M133" s="4" t="n">
        <f aca="false">M132+K133</f>
        <v>260.83</v>
      </c>
      <c r="N133" s="4" t="str">
        <f aca="false">VLOOKUP(C133, Sheet2!$A$2:$E$166,  5)</f>
        <v>NO</v>
      </c>
      <c r="O133" s="4" t="n">
        <f aca="false">IF(N133="YES", K133, 0)</f>
        <v>0</v>
      </c>
      <c r="P133" s="4" t="n">
        <f aca="false">P132+O133</f>
        <v>399.22</v>
      </c>
      <c r="Q133" s="5" t="str">
        <f aca="false">IF(O133=0, "N/A", IF(O133&gt;0,TRUE()))</f>
        <v>N/A</v>
      </c>
      <c r="R133" s="3" t="n">
        <f aca="false">AND(TIMEVALUE(B133)&gt;=TIME(8,0,0), TIMEVALUE(B133)&lt;=TIME(16,30,0))</f>
        <v>1</v>
      </c>
      <c r="S133" s="5" t="n">
        <f aca="false">IF(AND(Q133=1, R133=1), O133, 0)</f>
        <v>0</v>
      </c>
      <c r="T133" s="4" t="n">
        <f aca="false">T132+S133</f>
        <v>713.31</v>
      </c>
    </row>
    <row r="134" customFormat="false" ht="12.8" hidden="false" customHeight="false" outlineLevel="0" collapsed="false">
      <c r="A134" s="1" t="n">
        <v>46198</v>
      </c>
      <c r="B134" s="2" t="s">
        <v>155</v>
      </c>
      <c r="C134" s="1" t="n">
        <v>46198</v>
      </c>
      <c r="D134" s="2" t="s">
        <v>130</v>
      </c>
      <c r="E134" s="0" t="s">
        <v>10</v>
      </c>
      <c r="F134" s="0" t="s">
        <v>62</v>
      </c>
      <c r="G134" s="0" t="n">
        <v>24921.7</v>
      </c>
      <c r="H134" s="0" t="n">
        <v>24992.7</v>
      </c>
      <c r="I134" s="0" t="n">
        <v>-71</v>
      </c>
      <c r="J134" s="0" t="n">
        <f aca="false"> HLOOKUP(E134, $E$2:$I$3, 2, 0)</f>
        <v>0.37</v>
      </c>
      <c r="K134" s="0" t="n">
        <v>-26.27</v>
      </c>
      <c r="L134" s="3" t="n">
        <f aca="false">IF($K134&gt;0,TRUE())</f>
        <v>0</v>
      </c>
      <c r="M134" s="4" t="n">
        <f aca="false">M133+K134</f>
        <v>234.56</v>
      </c>
      <c r="N134" s="4" t="str">
        <f aca="false">VLOOKUP(C134, Sheet2!$A$2:$E$166,  5)</f>
        <v>NO</v>
      </c>
      <c r="O134" s="4" t="n">
        <f aca="false">IF(N134="YES", K134, 0)</f>
        <v>0</v>
      </c>
      <c r="P134" s="4" t="n">
        <f aca="false">P133+O134</f>
        <v>399.22</v>
      </c>
      <c r="Q134" s="5" t="str">
        <f aca="false">IF(O134=0, "N/A", IF(O134&gt;0,TRUE()))</f>
        <v>N/A</v>
      </c>
      <c r="R134" s="3" t="n">
        <f aca="false">AND(TIMEVALUE(B134)&gt;=TIME(8,0,0), TIMEVALUE(B134)&lt;=TIME(16,30,0))</f>
        <v>1</v>
      </c>
      <c r="S134" s="5" t="n">
        <f aca="false">IF(AND(Q134=1, R134=1), O134, 0)</f>
        <v>0</v>
      </c>
      <c r="T134" s="4" t="n">
        <f aca="false">T133+S134</f>
        <v>713.31</v>
      </c>
    </row>
    <row r="135" customFormat="false" ht="12.8" hidden="false" customHeight="false" outlineLevel="0" collapsed="false">
      <c r="A135" s="1" t="n">
        <v>46199</v>
      </c>
      <c r="B135" s="2" t="s">
        <v>119</v>
      </c>
      <c r="C135" s="1" t="n">
        <v>46199</v>
      </c>
      <c r="D135" s="2" t="s">
        <v>133</v>
      </c>
      <c r="E135" s="0" t="s">
        <v>10</v>
      </c>
      <c r="F135" s="0" t="s">
        <v>34</v>
      </c>
      <c r="G135" s="0" t="n">
        <v>24688.6</v>
      </c>
      <c r="H135" s="0" t="n">
        <v>24626.7</v>
      </c>
      <c r="I135" s="0" t="n">
        <v>-61.9</v>
      </c>
      <c r="J135" s="0" t="n">
        <f aca="false"> HLOOKUP(E135, $E$2:$I$3, 2, 0)</f>
        <v>0.37</v>
      </c>
      <c r="K135" s="0" t="n">
        <v>-22.9</v>
      </c>
      <c r="L135" s="3" t="n">
        <f aca="false">IF($K135&gt;0,TRUE())</f>
        <v>0</v>
      </c>
      <c r="M135" s="4" t="n">
        <f aca="false">M134+K135</f>
        <v>211.66</v>
      </c>
      <c r="N135" s="4" t="str">
        <f aca="false">VLOOKUP(C135, Sheet2!$A$2:$E$166,  5)</f>
        <v>YES</v>
      </c>
      <c r="O135" s="4" t="n">
        <f aca="false">IF(N135="YES", K135, 0)</f>
        <v>-22.9</v>
      </c>
      <c r="P135" s="4" t="n">
        <f aca="false">P134+O135</f>
        <v>376.32</v>
      </c>
      <c r="Q135" s="3" t="b">
        <f aca="false">IF(O135=0, "N/A", IF(O135&gt;0,TRUE()))</f>
        <v>0</v>
      </c>
      <c r="R135" s="3" t="n">
        <f aca="false">AND(TIMEVALUE(B135)&gt;=TIME(8,0,0), TIMEVALUE(B135)&lt;=TIME(16,30,0))</f>
        <v>1</v>
      </c>
      <c r="S135" s="5" t="n">
        <f aca="false">IF(AND(Q135=1, R135=1), O135, 0)</f>
        <v>0</v>
      </c>
      <c r="T135" s="4" t="n">
        <f aca="false">T134+S135</f>
        <v>713.31</v>
      </c>
    </row>
    <row r="136" customFormat="false" ht="12.8" hidden="false" customHeight="false" outlineLevel="0" collapsed="false">
      <c r="A136" s="1" t="n">
        <v>46202</v>
      </c>
      <c r="B136" s="2" t="s">
        <v>153</v>
      </c>
      <c r="C136" s="1" t="n">
        <v>46202</v>
      </c>
      <c r="D136" s="2" t="s">
        <v>59</v>
      </c>
      <c r="E136" s="0" t="s">
        <v>10</v>
      </c>
      <c r="F136" s="0" t="s">
        <v>62</v>
      </c>
      <c r="G136" s="0" t="n">
        <v>24695.3</v>
      </c>
      <c r="H136" s="0" t="n">
        <v>24731.9</v>
      </c>
      <c r="I136" s="0" t="n">
        <v>-36.6</v>
      </c>
      <c r="J136" s="0" t="n">
        <f aca="false"> HLOOKUP(E136, $E$2:$I$3, 2, 0)</f>
        <v>0.37</v>
      </c>
      <c r="K136" s="0" t="n">
        <v>-13.54</v>
      </c>
      <c r="L136" s="3" t="n">
        <f aca="false">IF($K136&gt;0,TRUE())</f>
        <v>0</v>
      </c>
      <c r="M136" s="4" t="n">
        <f aca="false">M135+K136</f>
        <v>198.12</v>
      </c>
      <c r="N136" s="4" t="str">
        <f aca="false">VLOOKUP(C136, Sheet2!$A$2:$E$166,  5)</f>
        <v>NO</v>
      </c>
      <c r="O136" s="4" t="n">
        <f aca="false">IF(N136="YES", K136, 0)</f>
        <v>0</v>
      </c>
      <c r="P136" s="4" t="n">
        <f aca="false">P135+O136</f>
        <v>376.32</v>
      </c>
      <c r="Q136" s="5" t="str">
        <f aca="false">IF(O136=0, "N/A", IF(O136&gt;0,TRUE()))</f>
        <v>N/A</v>
      </c>
      <c r="R136" s="3" t="n">
        <f aca="false">AND(TIMEVALUE(B136)&gt;=TIME(8,0,0), TIMEVALUE(B136)&lt;=TIME(16,30,0))</f>
        <v>0</v>
      </c>
      <c r="S136" s="5" t="n">
        <f aca="false">IF(AND(Q136=1, R136=1), O136, 0)</f>
        <v>0</v>
      </c>
      <c r="T136" s="4" t="n">
        <f aca="false">T135+S136</f>
        <v>713.31</v>
      </c>
    </row>
    <row r="137" customFormat="false" ht="12.8" hidden="false" customHeight="false" outlineLevel="0" collapsed="false">
      <c r="A137" s="1" t="n">
        <v>46203</v>
      </c>
      <c r="B137" s="2" t="s">
        <v>142</v>
      </c>
      <c r="C137" s="1" t="n">
        <v>46203</v>
      </c>
      <c r="D137" s="2" t="s">
        <v>141</v>
      </c>
      <c r="E137" s="0" t="s">
        <v>4</v>
      </c>
      <c r="F137" s="0" t="s">
        <v>34</v>
      </c>
      <c r="G137" s="0" t="n">
        <v>8374.3</v>
      </c>
      <c r="H137" s="0" t="n">
        <v>8407.4</v>
      </c>
      <c r="I137" s="0" t="n">
        <v>33.1</v>
      </c>
      <c r="J137" s="0" t="n">
        <f aca="false"> HLOOKUP(E137, $E$2:$I$3, 2, 0)</f>
        <v>1</v>
      </c>
      <c r="K137" s="0" t="n">
        <v>33.1</v>
      </c>
      <c r="L137" s="3" t="n">
        <f aca="false">IF($K137&gt;0,TRUE())</f>
        <v>1</v>
      </c>
      <c r="M137" s="4" t="n">
        <f aca="false">M136+K137</f>
        <v>231.22</v>
      </c>
      <c r="N137" s="4" t="str">
        <f aca="false">VLOOKUP(C137, Sheet2!$A$2:$E$166,  5)</f>
        <v>YES</v>
      </c>
      <c r="O137" s="4" t="n">
        <f aca="false">IF(N137="YES", K137, 0)</f>
        <v>33.1</v>
      </c>
      <c r="P137" s="4" t="n">
        <f aca="false">P136+O137</f>
        <v>409.42</v>
      </c>
      <c r="Q137" s="3" t="b">
        <f aca="false">IF(O137=0, "N/A", IF(O137&gt;0,TRUE()))</f>
        <v>1</v>
      </c>
      <c r="R137" s="3" t="n">
        <f aca="false">AND(TIMEVALUE(B137)&gt;=TIME(8,0,0), TIMEVALUE(B137)&lt;=TIME(16,30,0))</f>
        <v>1</v>
      </c>
      <c r="S137" s="5" t="n">
        <f aca="false">IF(AND(Q137=1, R137=1), O137, 0)</f>
        <v>33.1</v>
      </c>
      <c r="T137" s="4" t="n">
        <f aca="false">T136+S137</f>
        <v>746.41</v>
      </c>
    </row>
    <row r="138" customFormat="false" ht="12.8" hidden="false" customHeight="false" outlineLevel="0" collapsed="false">
      <c r="A138" s="1" t="n">
        <v>46203</v>
      </c>
      <c r="B138" s="2" t="s">
        <v>156</v>
      </c>
      <c r="C138" s="1" t="n">
        <v>46203</v>
      </c>
      <c r="D138" s="2" t="s">
        <v>157</v>
      </c>
      <c r="E138" s="0" t="s">
        <v>9</v>
      </c>
      <c r="F138" s="0" t="s">
        <v>34</v>
      </c>
      <c r="G138" s="0" t="n">
        <v>10500.9</v>
      </c>
      <c r="H138" s="0" t="n">
        <v>10506</v>
      </c>
      <c r="I138" s="0" t="n">
        <v>5.1</v>
      </c>
      <c r="J138" s="0" t="n">
        <f aca="false"> HLOOKUP(E138, $E$2:$I$3, 2, 0)</f>
        <v>0.8</v>
      </c>
      <c r="K138" s="0" t="n">
        <v>4.08</v>
      </c>
      <c r="L138" s="3" t="n">
        <f aca="false">IF($K138&gt;0,TRUE())</f>
        <v>1</v>
      </c>
      <c r="M138" s="4" t="n">
        <f aca="false">M137+K138</f>
        <v>235.3</v>
      </c>
      <c r="N138" s="4" t="str">
        <f aca="false">VLOOKUP(C138, Sheet2!$A$2:$E$166,  5)</f>
        <v>YES</v>
      </c>
      <c r="O138" s="4" t="n">
        <f aca="false">IF(N138="YES", K138, 0)</f>
        <v>4.08</v>
      </c>
      <c r="P138" s="4" t="n">
        <f aca="false">P137+O138</f>
        <v>413.5</v>
      </c>
      <c r="Q138" s="3" t="b">
        <f aca="false">IF(O138=0, "N/A", IF(O138&gt;0,TRUE()))</f>
        <v>1</v>
      </c>
      <c r="R138" s="3" t="n">
        <f aca="false">AND(TIMEVALUE(B138)&gt;=TIME(8,0,0), TIMEVALUE(B138)&lt;=TIME(16,30,0))</f>
        <v>0</v>
      </c>
      <c r="S138" s="5" t="n">
        <f aca="false">IF(AND(Q138=1, R138=1), O138, 0)</f>
        <v>0</v>
      </c>
      <c r="T138" s="4" t="n">
        <f aca="false">T137+S138</f>
        <v>746.41</v>
      </c>
    </row>
    <row r="139" customFormat="false" ht="12.8" hidden="false" customHeight="false" outlineLevel="0" collapsed="false">
      <c r="A139" s="1" t="n">
        <v>46204</v>
      </c>
      <c r="B139" s="2" t="s">
        <v>125</v>
      </c>
      <c r="C139" s="1" t="n">
        <v>46204</v>
      </c>
      <c r="D139" s="2" t="s">
        <v>146</v>
      </c>
      <c r="E139" s="0" t="s">
        <v>9</v>
      </c>
      <c r="F139" s="0" t="s">
        <v>34</v>
      </c>
      <c r="G139" s="0" t="n">
        <v>10456.5</v>
      </c>
      <c r="H139" s="0" t="n">
        <v>10451.6</v>
      </c>
      <c r="I139" s="0" t="n">
        <v>-4.9</v>
      </c>
      <c r="J139" s="0" t="n">
        <f aca="false"> HLOOKUP(E139, $E$2:$I$3, 2, 0)</f>
        <v>0.8</v>
      </c>
      <c r="K139" s="0" t="n">
        <v>-4.31</v>
      </c>
      <c r="L139" s="3" t="n">
        <f aca="false">IF($K139&gt;0,TRUE())</f>
        <v>0</v>
      </c>
      <c r="M139" s="4" t="n">
        <f aca="false">M138+K139</f>
        <v>230.99</v>
      </c>
      <c r="N139" s="4" t="str">
        <f aca="false">VLOOKUP(C139, Sheet2!$A$2:$E$166,  5)</f>
        <v>YES</v>
      </c>
      <c r="O139" s="4" t="n">
        <f aca="false">IF(N139="YES", K139, 0)</f>
        <v>-4.31</v>
      </c>
      <c r="P139" s="4" t="n">
        <f aca="false">P138+O139</f>
        <v>409.19</v>
      </c>
      <c r="Q139" s="3" t="b">
        <f aca="false">IF(O139=0, "N/A", IF(O139&gt;0,TRUE()))</f>
        <v>0</v>
      </c>
      <c r="R139" s="3" t="n">
        <f aca="false">AND(TIMEVALUE(B139)&gt;=TIME(8,0,0), TIMEVALUE(B139)&lt;=TIME(16,30,0))</f>
        <v>1</v>
      </c>
      <c r="S139" s="5" t="n">
        <f aca="false">IF(AND(Q139=1, R139=1), O139, 0)</f>
        <v>0</v>
      </c>
      <c r="T139" s="4" t="n">
        <f aca="false">T138+S139</f>
        <v>746.41</v>
      </c>
    </row>
    <row r="140" customFormat="false" ht="12.8" hidden="false" customHeight="false" outlineLevel="0" collapsed="false">
      <c r="A140" s="1" t="n">
        <v>46205</v>
      </c>
      <c r="B140" s="2" t="s">
        <v>41</v>
      </c>
      <c r="C140" s="1" t="n">
        <v>46205</v>
      </c>
      <c r="D140" s="2" t="s">
        <v>61</v>
      </c>
      <c r="E140" s="0" t="s">
        <v>10</v>
      </c>
      <c r="F140" s="0" t="s">
        <v>34</v>
      </c>
      <c r="G140" s="0" t="n">
        <v>25034</v>
      </c>
      <c r="H140" s="0" t="n">
        <v>25092</v>
      </c>
      <c r="I140" s="0" t="n">
        <v>58</v>
      </c>
      <c r="J140" s="0" t="n">
        <f aca="false"> HLOOKUP(E140, $E$2:$I$3, 2, 0)</f>
        <v>0.37</v>
      </c>
      <c r="K140" s="0" t="n">
        <v>21.46</v>
      </c>
      <c r="L140" s="3" t="n">
        <f aca="false">IF($K140&gt;0,TRUE())</f>
        <v>1</v>
      </c>
      <c r="M140" s="4" t="n">
        <f aca="false">M139+K140</f>
        <v>252.45</v>
      </c>
      <c r="N140" s="4" t="str">
        <f aca="false">VLOOKUP(C140, Sheet2!$A$2:$E$166,  5)</f>
        <v>NO</v>
      </c>
      <c r="O140" s="4" t="n">
        <f aca="false">IF(N140="YES", K140, 0)</f>
        <v>0</v>
      </c>
      <c r="P140" s="4" t="n">
        <f aca="false">P139+O140</f>
        <v>409.19</v>
      </c>
      <c r="Q140" s="5" t="str">
        <f aca="false">IF(O140=0, "N/A", IF(O140&gt;0,TRUE()))</f>
        <v>N/A</v>
      </c>
      <c r="R140" s="3" t="n">
        <f aca="false">AND(TIMEVALUE(B140)&gt;=TIME(8,0,0), TIMEVALUE(B140)&lt;=TIME(16,30,0))</f>
        <v>1</v>
      </c>
      <c r="S140" s="5" t="n">
        <f aca="false">IF(AND(Q140=1, R140=1), O140, 0)</f>
        <v>0</v>
      </c>
      <c r="T140" s="4" t="n">
        <f aca="false">T139+S140</f>
        <v>746.41</v>
      </c>
    </row>
    <row r="141" customFormat="false" ht="12.8" hidden="false" customHeight="false" outlineLevel="0" collapsed="false">
      <c r="A141" s="1" t="n">
        <v>46206</v>
      </c>
      <c r="B141" s="2" t="s">
        <v>43</v>
      </c>
      <c r="C141" s="1" t="n">
        <v>46206</v>
      </c>
      <c r="D141" s="2" t="s">
        <v>158</v>
      </c>
      <c r="E141" s="0" t="s">
        <v>9</v>
      </c>
      <c r="F141" s="0" t="s">
        <v>34</v>
      </c>
      <c r="G141" s="0" t="n">
        <v>10617.6</v>
      </c>
      <c r="H141" s="0" t="n">
        <v>10634.9</v>
      </c>
      <c r="I141" s="0" t="n">
        <v>17.3</v>
      </c>
      <c r="J141" s="0" t="n">
        <f aca="false"> HLOOKUP(E141, $E$2:$I$3, 2, 0)</f>
        <v>0.8</v>
      </c>
      <c r="K141" s="0" t="n">
        <v>13.84</v>
      </c>
      <c r="L141" s="3" t="n">
        <f aca="false">IF($K141&gt;0,TRUE())</f>
        <v>1</v>
      </c>
      <c r="M141" s="4" t="n">
        <f aca="false">M140+K141</f>
        <v>266.29</v>
      </c>
      <c r="N141" s="4" t="str">
        <f aca="false">VLOOKUP(C141, Sheet2!$A$2:$E$166,  5)</f>
        <v>YES</v>
      </c>
      <c r="O141" s="4" t="n">
        <f aca="false">IF(N141="YES", K141, 0)</f>
        <v>13.84</v>
      </c>
      <c r="P141" s="4" t="n">
        <f aca="false">P140+O141</f>
        <v>423.03</v>
      </c>
      <c r="Q141" s="3" t="b">
        <f aca="false">IF(O141=0, "N/A", IF(O141&gt;0,TRUE()))</f>
        <v>1</v>
      </c>
      <c r="R141" s="3" t="n">
        <f aca="false">AND(TIMEVALUE(B141)&gt;=TIME(8,0,0), TIMEVALUE(B141)&lt;=TIME(16,30,0))</f>
        <v>1</v>
      </c>
      <c r="S141" s="5" t="n">
        <f aca="false">IF(AND(Q141=1, R141=1), O141, 0)</f>
        <v>13.84</v>
      </c>
      <c r="T141" s="4" t="n">
        <f aca="false">T140+S141</f>
        <v>760.25</v>
      </c>
    </row>
    <row r="142" customFormat="false" ht="12.8" hidden="false" customHeight="false" outlineLevel="0" collapsed="false">
      <c r="A142" s="1" t="n">
        <v>46209</v>
      </c>
      <c r="B142" s="2" t="s">
        <v>87</v>
      </c>
      <c r="C142" s="1" t="n">
        <v>46209</v>
      </c>
      <c r="D142" s="2" t="s">
        <v>112</v>
      </c>
      <c r="E142" s="0" t="s">
        <v>10</v>
      </c>
      <c r="F142" s="0" t="s">
        <v>34</v>
      </c>
      <c r="G142" s="0" t="n">
        <v>25784.4</v>
      </c>
      <c r="H142" s="0" t="n">
        <v>25712.7</v>
      </c>
      <c r="I142" s="0" t="n">
        <v>-71.7</v>
      </c>
      <c r="J142" s="0" t="n">
        <f aca="false"> HLOOKUP(E142, $E$2:$I$3, 2, 0)</f>
        <v>0.37</v>
      </c>
      <c r="K142" s="0" t="n">
        <v>-28.68</v>
      </c>
      <c r="L142" s="3" t="n">
        <f aca="false">IF($K142&gt;0,TRUE())</f>
        <v>0</v>
      </c>
      <c r="M142" s="4" t="n">
        <f aca="false">M141+K142</f>
        <v>237.61</v>
      </c>
      <c r="N142" s="4" t="str">
        <f aca="false">VLOOKUP(C142, Sheet2!$A$2:$E$166,  5)</f>
        <v>YES</v>
      </c>
      <c r="O142" s="4" t="n">
        <f aca="false">IF(N142="YES", K142, 0)</f>
        <v>-28.68</v>
      </c>
      <c r="P142" s="4" t="n">
        <f aca="false">P141+O142</f>
        <v>394.35</v>
      </c>
      <c r="Q142" s="3" t="b">
        <f aca="false">IF(O142=0, "N/A", IF(O142&gt;0,TRUE()))</f>
        <v>0</v>
      </c>
      <c r="R142" s="3" t="n">
        <f aca="false">AND(TIMEVALUE(B142)&gt;=TIME(8,0,0), TIMEVALUE(B142)&lt;=TIME(16,30,0))</f>
        <v>1</v>
      </c>
      <c r="S142" s="5" t="n">
        <f aca="false">IF(AND(Q142=1, R142=1), O142, 0)</f>
        <v>0</v>
      </c>
      <c r="T142" s="4" t="n">
        <f aca="false">T141+S142</f>
        <v>760.25</v>
      </c>
    </row>
    <row r="143" customFormat="false" ht="12.8" hidden="false" customHeight="false" outlineLevel="0" collapsed="false">
      <c r="A143" s="1" t="n">
        <v>46210</v>
      </c>
      <c r="B143" s="2" t="s">
        <v>159</v>
      </c>
      <c r="C143" s="1" t="n">
        <v>46210</v>
      </c>
      <c r="D143" s="2" t="s">
        <v>160</v>
      </c>
      <c r="E143" s="0" t="s">
        <v>9</v>
      </c>
      <c r="F143" s="0" t="s">
        <v>34</v>
      </c>
      <c r="G143" s="0" t="n">
        <v>10660.2</v>
      </c>
      <c r="H143" s="0" t="n">
        <v>10665.5</v>
      </c>
      <c r="I143" s="0" t="n">
        <v>5.3</v>
      </c>
      <c r="J143" s="0" t="n">
        <f aca="false"> HLOOKUP(E143, $E$2:$I$3, 2, 0)</f>
        <v>0.8</v>
      </c>
      <c r="K143" s="0" t="n">
        <v>4.24</v>
      </c>
      <c r="L143" s="3" t="n">
        <f aca="false">IF($K143&gt;0,TRUE())</f>
        <v>1</v>
      </c>
      <c r="M143" s="4" t="n">
        <f aca="false">M142+K143</f>
        <v>241.85</v>
      </c>
      <c r="N143" s="4" t="str">
        <f aca="false">VLOOKUP(C143, Sheet2!$A$2:$E$166,  5)</f>
        <v>YES</v>
      </c>
      <c r="O143" s="4" t="n">
        <f aca="false">IF(N143="YES", K143, 0)</f>
        <v>4.24</v>
      </c>
      <c r="P143" s="4" t="n">
        <f aca="false">P142+O143</f>
        <v>398.59</v>
      </c>
      <c r="Q143" s="3" t="b">
        <f aca="false">IF(O143=0, "N/A", IF(O143&gt;0,TRUE()))</f>
        <v>1</v>
      </c>
      <c r="R143" s="3" t="n">
        <f aca="false">AND(TIMEVALUE(B143)&gt;=TIME(8,0,0), TIMEVALUE(B143)&lt;=TIME(16,30,0))</f>
        <v>0</v>
      </c>
      <c r="S143" s="5" t="n">
        <f aca="false">IF(AND(Q143=1, R143=1), O143, 0)</f>
        <v>0</v>
      </c>
      <c r="T143" s="4" t="n">
        <f aca="false">T142+S143</f>
        <v>760.25</v>
      </c>
    </row>
    <row r="144" customFormat="false" ht="12.8" hidden="false" customHeight="false" outlineLevel="0" collapsed="false">
      <c r="A144" s="1" t="n">
        <v>46210</v>
      </c>
      <c r="B144" s="2" t="s">
        <v>161</v>
      </c>
      <c r="C144" s="1" t="n">
        <v>46210</v>
      </c>
      <c r="D144" s="2" t="s">
        <v>59</v>
      </c>
      <c r="E144" s="0" t="s">
        <v>10</v>
      </c>
      <c r="F144" s="0" t="s">
        <v>34</v>
      </c>
      <c r="G144" s="0" t="n">
        <v>25448.9</v>
      </c>
      <c r="H144" s="0" t="n">
        <v>25454.4</v>
      </c>
      <c r="I144" s="0" t="n">
        <v>5.5</v>
      </c>
      <c r="J144" s="0" t="n">
        <f aca="false"> HLOOKUP(E144, $E$2:$I$3, 2, 0)</f>
        <v>0.37</v>
      </c>
      <c r="K144" s="0" t="n">
        <v>2.04</v>
      </c>
      <c r="L144" s="3" t="n">
        <f aca="false">IF($K144&gt;0,TRUE())</f>
        <v>1</v>
      </c>
      <c r="M144" s="4" t="n">
        <f aca="false">M143+K144</f>
        <v>243.89</v>
      </c>
      <c r="N144" s="4" t="str">
        <f aca="false">VLOOKUP(C144, Sheet2!$A$2:$E$166,  5)</f>
        <v>YES</v>
      </c>
      <c r="O144" s="4" t="n">
        <f aca="false">IF(N144="YES", K144, 0)</f>
        <v>2.04</v>
      </c>
      <c r="P144" s="4" t="n">
        <f aca="false">P143+O144</f>
        <v>400.63</v>
      </c>
      <c r="Q144" s="3" t="b">
        <f aca="false">IF(O144=0, "N/A", IF(O144&gt;0,TRUE()))</f>
        <v>1</v>
      </c>
      <c r="R144" s="3" t="n">
        <f aca="false">AND(TIMEVALUE(B144)&gt;=TIME(8,0,0), TIMEVALUE(B144)&lt;=TIME(16,30,0))</f>
        <v>0</v>
      </c>
      <c r="S144" s="5" t="n">
        <f aca="false">IF(AND(Q144=1, R144=1), O144, 0)</f>
        <v>0</v>
      </c>
      <c r="T144" s="4" t="n">
        <f aca="false">T143+S144</f>
        <v>760.25</v>
      </c>
    </row>
    <row r="145" customFormat="false" ht="12.8" hidden="false" customHeight="false" outlineLevel="0" collapsed="false">
      <c r="A145" s="1" t="n">
        <v>46211</v>
      </c>
      <c r="B145" s="2" t="s">
        <v>71</v>
      </c>
      <c r="C145" s="1" t="n">
        <v>46211</v>
      </c>
      <c r="D145" s="2" t="s">
        <v>118</v>
      </c>
      <c r="E145" s="0" t="s">
        <v>4</v>
      </c>
      <c r="F145" s="0" t="s">
        <v>34</v>
      </c>
      <c r="G145" s="0" t="n">
        <v>8396.9</v>
      </c>
      <c r="H145" s="0" t="n">
        <v>8361.1</v>
      </c>
      <c r="I145" s="0" t="n">
        <v>-35.8</v>
      </c>
      <c r="J145" s="0" t="n">
        <f aca="false"> HLOOKUP(E145, $E$2:$I$3, 2, 0)</f>
        <v>1</v>
      </c>
      <c r="K145" s="0" t="n">
        <v>-35.8</v>
      </c>
      <c r="L145" s="3" t="n">
        <f aca="false">IF($K145&gt;0,TRUE())</f>
        <v>0</v>
      </c>
      <c r="M145" s="4" t="n">
        <f aca="false">M144+K145</f>
        <v>208.09</v>
      </c>
      <c r="N145" s="4" t="str">
        <f aca="false">VLOOKUP(C145, Sheet2!$A$2:$E$166,  5)</f>
        <v>YES</v>
      </c>
      <c r="O145" s="4" t="n">
        <f aca="false">IF(N145="YES", K145, 0)</f>
        <v>-35.8</v>
      </c>
      <c r="P145" s="4" t="n">
        <f aca="false">P144+O145</f>
        <v>364.83</v>
      </c>
      <c r="Q145" s="3" t="b">
        <f aca="false">IF(O145=0, "N/A", IF(O145&gt;0,TRUE()))</f>
        <v>0</v>
      </c>
      <c r="R145" s="3" t="n">
        <f aca="false">AND(TIMEVALUE(B145)&gt;=TIME(8,0,0), TIMEVALUE(B145)&lt;=TIME(16,30,0))</f>
        <v>1</v>
      </c>
      <c r="S145" s="5" t="n">
        <f aca="false">IF(AND(Q145=1, R145=1), O145, 0)</f>
        <v>0</v>
      </c>
      <c r="T145" s="4" t="n">
        <f aca="false">T144+S145</f>
        <v>760.25</v>
      </c>
    </row>
    <row r="146" customFormat="false" ht="12.8" hidden="false" customHeight="false" outlineLevel="0" collapsed="false">
      <c r="A146" s="1" t="n">
        <v>46211</v>
      </c>
      <c r="B146" s="2" t="s">
        <v>37</v>
      </c>
      <c r="C146" s="1" t="n">
        <v>46211</v>
      </c>
      <c r="D146" s="2" t="s">
        <v>113</v>
      </c>
      <c r="E146" s="0" t="s">
        <v>10</v>
      </c>
      <c r="F146" s="0" t="s">
        <v>34</v>
      </c>
      <c r="G146" s="0" t="n">
        <v>25180.1</v>
      </c>
      <c r="H146" s="0" t="n">
        <v>25065.2</v>
      </c>
      <c r="I146" s="0" t="n">
        <v>-114.9</v>
      </c>
      <c r="J146" s="0" t="n">
        <f aca="false"> HLOOKUP(E146, $E$2:$I$3, 2, 0)</f>
        <v>0.37</v>
      </c>
      <c r="K146" s="0" t="n">
        <v>-42.51</v>
      </c>
      <c r="L146" s="3" t="n">
        <f aca="false">IF($K146&gt;0,TRUE())</f>
        <v>0</v>
      </c>
      <c r="M146" s="4" t="n">
        <f aca="false">M145+K146</f>
        <v>165.58</v>
      </c>
      <c r="N146" s="4" t="str">
        <f aca="false">VLOOKUP(C146, Sheet2!$A$2:$E$166,  5)</f>
        <v>YES</v>
      </c>
      <c r="O146" s="4" t="n">
        <f aca="false">IF(N146="YES", K146, 0)</f>
        <v>-42.51</v>
      </c>
      <c r="P146" s="4" t="n">
        <f aca="false">P145+O146</f>
        <v>322.32</v>
      </c>
      <c r="Q146" s="3" t="b">
        <f aca="false">IF(O146=0, "N/A", IF(O146&gt;0,TRUE()))</f>
        <v>0</v>
      </c>
      <c r="R146" s="3" t="n">
        <f aca="false">AND(TIMEVALUE(B146)&gt;=TIME(8,0,0), TIMEVALUE(B146)&lt;=TIME(16,30,0))</f>
        <v>1</v>
      </c>
      <c r="S146" s="5" t="n">
        <f aca="false">IF(AND(Q146=1, R146=1), O146, 0)</f>
        <v>0</v>
      </c>
      <c r="T146" s="4" t="n">
        <f aca="false">T145+S146</f>
        <v>760.25</v>
      </c>
    </row>
    <row r="147" customFormat="false" ht="12.8" hidden="false" customHeight="false" outlineLevel="0" collapsed="false">
      <c r="A147" s="1" t="n">
        <v>46211</v>
      </c>
      <c r="B147" s="2" t="s">
        <v>115</v>
      </c>
      <c r="C147" s="1" t="n">
        <v>46211</v>
      </c>
      <c r="D147" s="2" t="s">
        <v>129</v>
      </c>
      <c r="E147" s="0" t="s">
        <v>10</v>
      </c>
      <c r="F147" s="0" t="s">
        <v>34</v>
      </c>
      <c r="G147" s="0" t="n">
        <v>24870.6</v>
      </c>
      <c r="H147" s="0" t="n">
        <v>24996.2</v>
      </c>
      <c r="I147" s="0" t="n">
        <v>125.6</v>
      </c>
      <c r="J147" s="0" t="n">
        <f aca="false"> HLOOKUP(E147, $E$2:$I$3, 2, 0)</f>
        <v>0.37</v>
      </c>
      <c r="K147" s="0" t="n">
        <v>46.47</v>
      </c>
      <c r="L147" s="3" t="n">
        <f aca="false">IF($K147&gt;0,TRUE())</f>
        <v>1</v>
      </c>
      <c r="M147" s="4" t="n">
        <f aca="false">M146+K147</f>
        <v>212.05</v>
      </c>
      <c r="N147" s="4" t="str">
        <f aca="false">VLOOKUP(C147, Sheet2!$A$2:$E$166,  5)</f>
        <v>YES</v>
      </c>
      <c r="O147" s="4" t="n">
        <f aca="false">IF(N147="YES", K147, 0)</f>
        <v>46.47</v>
      </c>
      <c r="P147" s="4" t="n">
        <f aca="false">P146+O147</f>
        <v>368.79</v>
      </c>
      <c r="Q147" s="3" t="b">
        <f aca="false">IF(O147=0, "N/A", IF(O147&gt;0,TRUE()))</f>
        <v>1</v>
      </c>
      <c r="R147" s="3" t="n">
        <f aca="false">AND(TIMEVALUE(B147)&gt;=TIME(8,0,0), TIMEVALUE(B147)&lt;=TIME(16,30,0))</f>
        <v>1</v>
      </c>
      <c r="S147" s="5" t="n">
        <f aca="false">IF(AND(Q147=1, R147=1), O147, 0)</f>
        <v>46.47</v>
      </c>
      <c r="T147" s="4" t="n">
        <f aca="false">T146+S147</f>
        <v>806.72</v>
      </c>
    </row>
    <row r="148" customFormat="false" ht="12.8" hidden="false" customHeight="false" outlineLevel="0" collapsed="false">
      <c r="A148" s="1" t="n">
        <v>46211</v>
      </c>
      <c r="B148" s="2" t="s">
        <v>162</v>
      </c>
      <c r="C148" s="1" t="n">
        <v>46211</v>
      </c>
      <c r="D148" s="2" t="s">
        <v>163</v>
      </c>
      <c r="E148" s="0" t="s">
        <v>10</v>
      </c>
      <c r="F148" s="0" t="s">
        <v>34</v>
      </c>
      <c r="G148" s="0" t="n">
        <v>24905</v>
      </c>
      <c r="H148" s="0" t="n">
        <v>24992.5</v>
      </c>
      <c r="I148" s="0" t="n">
        <v>87.5</v>
      </c>
      <c r="J148" s="0" t="n">
        <f aca="false"> HLOOKUP(E148, $E$2:$I$3, 2, 0)</f>
        <v>0.37</v>
      </c>
      <c r="K148" s="0" t="n">
        <v>32.38</v>
      </c>
      <c r="L148" s="3" t="n">
        <f aca="false">IF($K148&gt;0,TRUE())</f>
        <v>1</v>
      </c>
      <c r="M148" s="4" t="n">
        <f aca="false">M147+K148</f>
        <v>244.43</v>
      </c>
      <c r="N148" s="4" t="str">
        <f aca="false">VLOOKUP(C148, Sheet2!$A$2:$E$166,  5)</f>
        <v>YES</v>
      </c>
      <c r="O148" s="4" t="n">
        <f aca="false">IF(N148="YES", K148, 0)</f>
        <v>32.38</v>
      </c>
      <c r="P148" s="4" t="n">
        <f aca="false">P147+O148</f>
        <v>401.17</v>
      </c>
      <c r="Q148" s="3" t="b">
        <f aca="false">IF(O148=0, "N/A", IF(O148&gt;0,TRUE()))</f>
        <v>1</v>
      </c>
      <c r="R148" s="3" t="n">
        <f aca="false">AND(TIMEVALUE(B148)&gt;=TIME(8,0,0), TIMEVALUE(B148)&lt;=TIME(16,30,0))</f>
        <v>0</v>
      </c>
      <c r="S148" s="5" t="n">
        <f aca="false">IF(AND(Q148=1, R148=1), O148, 0)</f>
        <v>0</v>
      </c>
      <c r="T148" s="4" t="n">
        <f aca="false">T147+S148</f>
        <v>806.72</v>
      </c>
    </row>
    <row r="149" customFormat="false" ht="12.8" hidden="false" customHeight="false" outlineLevel="0" collapsed="false">
      <c r="A149" s="1" t="n">
        <v>46212</v>
      </c>
      <c r="B149" s="2" t="s">
        <v>124</v>
      </c>
      <c r="C149" s="1" t="n">
        <v>46212</v>
      </c>
      <c r="D149" s="2" t="s">
        <v>86</v>
      </c>
      <c r="E149" s="0" t="s">
        <v>10</v>
      </c>
      <c r="F149" s="0" t="s">
        <v>34</v>
      </c>
      <c r="G149" s="0" t="n">
        <v>24950</v>
      </c>
      <c r="H149" s="0" t="n">
        <v>24881.7</v>
      </c>
      <c r="I149" s="0" t="n">
        <v>-68.3</v>
      </c>
      <c r="J149" s="0" t="n">
        <f aca="false"> HLOOKUP(E149, $E$2:$I$3, 2, 0)</f>
        <v>0.37</v>
      </c>
      <c r="K149" s="0" t="n">
        <v>-25.27</v>
      </c>
      <c r="L149" s="3" t="n">
        <f aca="false">IF($K149&gt;0,TRUE())</f>
        <v>0</v>
      </c>
      <c r="M149" s="4" t="n">
        <f aca="false">M148+K149</f>
        <v>219.16</v>
      </c>
      <c r="N149" s="4" t="str">
        <f aca="false">VLOOKUP(C149, Sheet2!$A$2:$E$166,  5)</f>
        <v>NO</v>
      </c>
      <c r="O149" s="4" t="n">
        <f aca="false">IF(N149="YES", K149, 0)</f>
        <v>0</v>
      </c>
      <c r="P149" s="4" t="n">
        <f aca="false">P148+O149</f>
        <v>401.17</v>
      </c>
      <c r="Q149" s="5" t="str">
        <f aca="false">IF(O149=0, "N/A", IF(O149&gt;0,TRUE()))</f>
        <v>N/A</v>
      </c>
      <c r="R149" s="3" t="n">
        <f aca="false">AND(TIMEVALUE(B149)&gt;=TIME(8,0,0), TIMEVALUE(B149)&lt;=TIME(16,30,0))</f>
        <v>1</v>
      </c>
      <c r="S149" s="5" t="n">
        <f aca="false">IF(AND(Q149=1, R149=1), O149, 0)</f>
        <v>0</v>
      </c>
      <c r="T149" s="4" t="n">
        <f aca="false">T148+S149</f>
        <v>806.72</v>
      </c>
    </row>
    <row r="150" customFormat="false" ht="12.8" hidden="false" customHeight="false" outlineLevel="0" collapsed="false">
      <c r="A150" s="1" t="n">
        <v>46212</v>
      </c>
      <c r="B150" s="2" t="s">
        <v>144</v>
      </c>
      <c r="C150" s="1" t="n">
        <v>46212</v>
      </c>
      <c r="D150" s="2" t="s">
        <v>141</v>
      </c>
      <c r="E150" s="0" t="s">
        <v>4</v>
      </c>
      <c r="F150" s="0" t="s">
        <v>62</v>
      </c>
      <c r="G150" s="0" t="n">
        <v>8307.1</v>
      </c>
      <c r="H150" s="0" t="n">
        <v>8321.7</v>
      </c>
      <c r="I150" s="0" t="n">
        <v>-14.6</v>
      </c>
      <c r="J150" s="0" t="n">
        <f aca="false"> HLOOKUP(E150, $E$2:$I$3, 2, 0)</f>
        <v>1</v>
      </c>
      <c r="K150" s="0" t="n">
        <v>-14.6</v>
      </c>
      <c r="L150" s="3" t="n">
        <f aca="false">IF($K150&gt;0,TRUE())</f>
        <v>0</v>
      </c>
      <c r="M150" s="4" t="n">
        <f aca="false">M149+K150</f>
        <v>204.56</v>
      </c>
      <c r="N150" s="4" t="str">
        <f aca="false">VLOOKUP(C150, Sheet2!$A$2:$E$166,  5)</f>
        <v>NO</v>
      </c>
      <c r="O150" s="4" t="n">
        <f aca="false">IF(N150="YES", K150, 0)</f>
        <v>0</v>
      </c>
      <c r="P150" s="4" t="n">
        <f aca="false">P149+O150</f>
        <v>401.17</v>
      </c>
      <c r="Q150" s="5" t="str">
        <f aca="false">IF(O150=0, "N/A", IF(O150&gt;0,TRUE()))</f>
        <v>N/A</v>
      </c>
      <c r="R150" s="3" t="n">
        <f aca="false">AND(TIMEVALUE(B150)&gt;=TIME(8,0,0), TIMEVALUE(B150)&lt;=TIME(16,30,0))</f>
        <v>1</v>
      </c>
      <c r="S150" s="5" t="n">
        <f aca="false">IF(AND(Q150=1, R150=1), O150, 0)</f>
        <v>0</v>
      </c>
      <c r="T150" s="4" t="n">
        <f aca="false">T149+S150</f>
        <v>806.72</v>
      </c>
    </row>
    <row r="151" customFormat="false" ht="12.8" hidden="false" customHeight="false" outlineLevel="0" collapsed="false">
      <c r="A151" s="1" t="n">
        <v>46217</v>
      </c>
      <c r="B151" s="2" t="s">
        <v>73</v>
      </c>
      <c r="C151" s="1" t="n">
        <v>46217</v>
      </c>
      <c r="D151" s="2" t="s">
        <v>96</v>
      </c>
      <c r="E151" s="0" t="s">
        <v>9</v>
      </c>
      <c r="F151" s="0" t="s">
        <v>62</v>
      </c>
      <c r="G151" s="0" t="n">
        <v>10489.1</v>
      </c>
      <c r="H151" s="0" t="n">
        <v>10489.1</v>
      </c>
      <c r="I151" s="0" t="n">
        <v>0</v>
      </c>
      <c r="J151" s="0" t="n">
        <f aca="false"> HLOOKUP(E151, $E$2:$I$3, 2, 0)</f>
        <v>0.8</v>
      </c>
      <c r="K151" s="0" t="n">
        <v>0</v>
      </c>
      <c r="L151" s="3" t="n">
        <f aca="false">IF($K151&gt;0,TRUE())</f>
        <v>0</v>
      </c>
      <c r="M151" s="4" t="n">
        <f aca="false">M150+K151</f>
        <v>204.56</v>
      </c>
      <c r="N151" s="4" t="str">
        <f aca="false">VLOOKUP(C151, Sheet2!$A$2:$E$166,  5)</f>
        <v>YES</v>
      </c>
      <c r="O151" s="4" t="n">
        <f aca="false">IF(N151="YES", K151, 0)</f>
        <v>0</v>
      </c>
      <c r="P151" s="4" t="n">
        <f aca="false">P150+O151</f>
        <v>401.17</v>
      </c>
      <c r="Q151" s="5" t="str">
        <f aca="false">IF(O151=0, "N/A", IF(O151&gt;0,TRUE()))</f>
        <v>N/A</v>
      </c>
      <c r="R151" s="3" t="n">
        <f aca="false">AND(TIMEVALUE(B151)&gt;=TIME(8,0,0), TIMEVALUE(B151)&lt;=TIME(16,30,0))</f>
        <v>0</v>
      </c>
      <c r="S151" s="5" t="n">
        <f aca="false">IF(AND(Q151=1, R151=1), O151, 0)</f>
        <v>0</v>
      </c>
      <c r="T151" s="4" t="n">
        <f aca="false">T150+S151</f>
        <v>806.72</v>
      </c>
    </row>
    <row r="152" customFormat="false" ht="12.8" hidden="false" customHeight="false" outlineLevel="0" collapsed="false">
      <c r="A152" s="1" t="n">
        <v>46217</v>
      </c>
      <c r="B152" s="2" t="s">
        <v>122</v>
      </c>
      <c r="C152" s="1" t="n">
        <v>46217</v>
      </c>
      <c r="D152" s="2" t="s">
        <v>144</v>
      </c>
      <c r="E152" s="0" t="s">
        <v>10</v>
      </c>
      <c r="F152" s="0" t="s">
        <v>62</v>
      </c>
      <c r="G152" s="0" t="n">
        <v>25071.6</v>
      </c>
      <c r="H152" s="0" t="n">
        <v>25136.2</v>
      </c>
      <c r="I152" s="0" t="n">
        <v>-64.6</v>
      </c>
      <c r="J152" s="0" t="n">
        <f aca="false"> HLOOKUP(E152, $E$2:$I$3, 2, 0)</f>
        <v>0.37</v>
      </c>
      <c r="K152" s="0" t="n">
        <v>-23.9</v>
      </c>
      <c r="L152" s="3" t="n">
        <f aca="false">IF($K152&gt;0,TRUE())</f>
        <v>0</v>
      </c>
      <c r="M152" s="4" t="n">
        <f aca="false">M151+K152</f>
        <v>180.66</v>
      </c>
      <c r="N152" s="4" t="str">
        <f aca="false">VLOOKUP(C152, Sheet2!$A$2:$E$166,  5)</f>
        <v>YES</v>
      </c>
      <c r="O152" s="4" t="n">
        <f aca="false">IF(N152="YES", K152, 0)</f>
        <v>-23.9</v>
      </c>
      <c r="P152" s="4" t="n">
        <f aca="false">P151+O152</f>
        <v>377.27</v>
      </c>
      <c r="Q152" s="3" t="b">
        <f aca="false">IF(O152=0, "N/A", IF(O152&gt;0,TRUE()))</f>
        <v>0</v>
      </c>
      <c r="R152" s="3" t="n">
        <f aca="false">AND(TIMEVALUE(B152)&gt;=TIME(8,0,0), TIMEVALUE(B152)&lt;=TIME(16,30,0))</f>
        <v>1</v>
      </c>
      <c r="S152" s="5" t="n">
        <f aca="false">IF(AND(Q152=1, R152=1), O152, 0)</f>
        <v>0</v>
      </c>
      <c r="T152" s="4" t="n">
        <f aca="false">T151+S152</f>
        <v>806.72</v>
      </c>
    </row>
    <row r="153" customFormat="false" ht="12.8" hidden="false" customHeight="false" outlineLevel="0" collapsed="false">
      <c r="A153" s="1" t="n">
        <v>46218</v>
      </c>
      <c r="B153" s="2" t="s">
        <v>164</v>
      </c>
      <c r="C153" s="1" t="n">
        <v>46218</v>
      </c>
      <c r="D153" s="2" t="s">
        <v>60</v>
      </c>
      <c r="E153" s="0" t="s">
        <v>9</v>
      </c>
      <c r="F153" s="0" t="s">
        <v>62</v>
      </c>
      <c r="G153" s="0" t="n">
        <v>10496.1</v>
      </c>
      <c r="H153" s="0" t="n">
        <v>10475.5</v>
      </c>
      <c r="I153" s="0" t="n">
        <v>20.6</v>
      </c>
      <c r="J153" s="0" t="n">
        <f aca="false"> HLOOKUP(E153, $E$2:$I$3, 2, 0)</f>
        <v>0.8</v>
      </c>
      <c r="K153" s="0" t="n">
        <v>18.13</v>
      </c>
      <c r="L153" s="3" t="n">
        <f aca="false">IF($K153&gt;0,TRUE())</f>
        <v>1</v>
      </c>
      <c r="M153" s="4" t="n">
        <f aca="false">M152+K153</f>
        <v>198.79</v>
      </c>
      <c r="N153" s="4" t="str">
        <f aca="false">VLOOKUP(C153, Sheet2!$A$2:$E$166,  5)</f>
        <v>YES</v>
      </c>
      <c r="O153" s="4" t="n">
        <f aca="false">IF(N153="YES", K153, 0)</f>
        <v>18.13</v>
      </c>
      <c r="P153" s="4" t="n">
        <f aca="false">P152+O153</f>
        <v>395.4</v>
      </c>
      <c r="Q153" s="3" t="b">
        <f aca="false">IF(O153=0, "N/A", IF(O153&gt;0,TRUE()))</f>
        <v>1</v>
      </c>
      <c r="R153" s="3" t="n">
        <f aca="false">AND(TIMEVALUE(B153)&gt;=TIME(8,0,0), TIMEVALUE(B153)&lt;=TIME(16,30,0))</f>
        <v>0</v>
      </c>
      <c r="S153" s="5" t="n">
        <f aca="false">IF(AND(Q153=1, R153=1), O153, 0)</f>
        <v>0</v>
      </c>
      <c r="T153" s="4" t="n">
        <f aca="false">T152+S153</f>
        <v>806.72</v>
      </c>
    </row>
    <row r="154" customFormat="false" ht="12.8" hidden="false" customHeight="false" outlineLevel="0" collapsed="false">
      <c r="A154" s="1" t="n">
        <v>46218</v>
      </c>
      <c r="B154" s="2" t="s">
        <v>165</v>
      </c>
      <c r="C154" s="1" t="n">
        <v>46218</v>
      </c>
      <c r="D154" s="2" t="s">
        <v>59</v>
      </c>
      <c r="E154" s="0" t="s">
        <v>10</v>
      </c>
      <c r="F154" s="0" t="s">
        <v>34</v>
      </c>
      <c r="G154" s="0" t="n">
        <v>24994.4</v>
      </c>
      <c r="H154" s="0" t="n">
        <v>24986.9</v>
      </c>
      <c r="I154" s="0" t="n">
        <v>-7.5</v>
      </c>
      <c r="J154" s="0" t="n">
        <f aca="false"> HLOOKUP(E154, $E$2:$I$3, 2, 0)</f>
        <v>0.37</v>
      </c>
      <c r="K154" s="0" t="n">
        <v>-2.77</v>
      </c>
      <c r="L154" s="3" t="n">
        <f aca="false">IF($K154&gt;0,TRUE())</f>
        <v>0</v>
      </c>
      <c r="M154" s="4" t="n">
        <f aca="false">M153+K154</f>
        <v>196.02</v>
      </c>
      <c r="N154" s="4" t="str">
        <f aca="false">VLOOKUP(C154, Sheet2!$A$2:$E$166,  5)</f>
        <v>YES</v>
      </c>
      <c r="O154" s="4" t="n">
        <f aca="false">IF(N154="YES", K154, 0)</f>
        <v>-2.77</v>
      </c>
      <c r="P154" s="4" t="n">
        <f aca="false">P153+O154</f>
        <v>392.63</v>
      </c>
      <c r="Q154" s="3" t="b">
        <f aca="false">IF(O154=0, "N/A", IF(O154&gt;0,TRUE()))</f>
        <v>0</v>
      </c>
      <c r="R154" s="3" t="n">
        <f aca="false">AND(TIMEVALUE(B154)&gt;=TIME(8,0,0), TIMEVALUE(B154)&lt;=TIME(16,30,0))</f>
        <v>0</v>
      </c>
      <c r="S154" s="5" t="n">
        <f aca="false">IF(AND(Q154=1, R154=1), O154, 0)</f>
        <v>0</v>
      </c>
      <c r="T154" s="4" t="n">
        <f aca="false">T153+S154</f>
        <v>806.72</v>
      </c>
    </row>
    <row r="155" customFormat="false" ht="12.8" hidden="false" customHeight="false" outlineLevel="0" collapsed="false">
      <c r="A155" s="1" t="n">
        <v>46219</v>
      </c>
      <c r="B155" s="2" t="s">
        <v>166</v>
      </c>
      <c r="C155" s="1" t="n">
        <v>46219</v>
      </c>
      <c r="D155" s="2" t="s">
        <v>71</v>
      </c>
      <c r="E155" s="0" t="s">
        <v>4</v>
      </c>
      <c r="F155" s="0" t="s">
        <v>62</v>
      </c>
      <c r="G155" s="0" t="n">
        <v>8382.6</v>
      </c>
      <c r="H155" s="0" t="n">
        <v>8340.4</v>
      </c>
      <c r="I155" s="0" t="n">
        <v>42.2</v>
      </c>
      <c r="J155" s="0" t="n">
        <f aca="false"> HLOOKUP(E155, $E$2:$I$3, 2, 0)</f>
        <v>1</v>
      </c>
      <c r="K155" s="0" t="n">
        <v>46.42</v>
      </c>
      <c r="L155" s="3" t="n">
        <f aca="false">IF($K155&gt;0,TRUE())</f>
        <v>1</v>
      </c>
      <c r="M155" s="4" t="n">
        <f aca="false">M154+K155</f>
        <v>242.44</v>
      </c>
      <c r="N155" s="4" t="str">
        <f aca="false">VLOOKUP(C155, Sheet2!$A$2:$E$166,  5)</f>
        <v>YES</v>
      </c>
      <c r="O155" s="4" t="n">
        <f aca="false">IF(N155="YES", K155, 0)</f>
        <v>46.42</v>
      </c>
      <c r="P155" s="4" t="n">
        <f aca="false">P154+O155</f>
        <v>439.05</v>
      </c>
      <c r="Q155" s="3" t="b">
        <f aca="false">IF(O155=0, "N/A", IF(O155&gt;0,TRUE()))</f>
        <v>1</v>
      </c>
      <c r="R155" s="3" t="n">
        <f aca="false">AND(TIMEVALUE(B155)&gt;=TIME(8,0,0), TIMEVALUE(B155)&lt;=TIME(16,30,0))</f>
        <v>0</v>
      </c>
      <c r="S155" s="5" t="n">
        <f aca="false">IF(AND(Q155=1, R155=1), O155, 0)</f>
        <v>0</v>
      </c>
      <c r="T155" s="4" t="n">
        <f aca="false">T154+S155</f>
        <v>806.72</v>
      </c>
    </row>
    <row r="156" customFormat="false" ht="12.8" hidden="false" customHeight="false" outlineLevel="0" collapsed="false">
      <c r="A156" s="1" t="n">
        <v>46220</v>
      </c>
      <c r="B156" s="2" t="s">
        <v>167</v>
      </c>
      <c r="C156" s="1" t="n">
        <v>46220</v>
      </c>
      <c r="D156" s="2" t="s">
        <v>125</v>
      </c>
      <c r="E156" s="0" t="s">
        <v>9</v>
      </c>
      <c r="F156" s="0" t="s">
        <v>34</v>
      </c>
      <c r="G156" s="0" t="n">
        <v>10555.4</v>
      </c>
      <c r="H156" s="0" t="n">
        <v>10556.7</v>
      </c>
      <c r="I156" s="0" t="n">
        <v>1.3</v>
      </c>
      <c r="J156" s="0" t="n">
        <f aca="false"> HLOOKUP(E156, $E$2:$I$3, 2, 0)</f>
        <v>0.8</v>
      </c>
      <c r="K156" s="0" t="n">
        <v>1.04</v>
      </c>
      <c r="L156" s="3" t="n">
        <f aca="false">IF($K156&gt;0,TRUE())</f>
        <v>1</v>
      </c>
      <c r="M156" s="4" t="n">
        <f aca="false">M155+K156</f>
        <v>243.48</v>
      </c>
      <c r="N156" s="4" t="str">
        <f aca="false">VLOOKUP(C156, Sheet2!$A$2:$E$166,  5)</f>
        <v>NO</v>
      </c>
      <c r="O156" s="4" t="n">
        <f aca="false">IF(N156="YES", K156, 0)</f>
        <v>0</v>
      </c>
      <c r="P156" s="4" t="n">
        <f aca="false">P155+O156</f>
        <v>439.05</v>
      </c>
      <c r="Q156" s="5" t="str">
        <f aca="false">IF(O156=0, "N/A", IF(O156&gt;0,TRUE()))</f>
        <v>N/A</v>
      </c>
      <c r="R156" s="3" t="n">
        <f aca="false">AND(TIMEVALUE(B156)&gt;=TIME(8,0,0), TIMEVALUE(B156)&lt;=TIME(16,30,0))</f>
        <v>1</v>
      </c>
      <c r="S156" s="5" t="n">
        <f aca="false">IF(AND(Q156=1, R156=1), O156, 0)</f>
        <v>0</v>
      </c>
      <c r="T156" s="4" t="n">
        <f aca="false">T155+S156</f>
        <v>806.72</v>
      </c>
    </row>
    <row r="157" customFormat="false" ht="12.8" hidden="false" customHeight="false" outlineLevel="0" collapsed="false">
      <c r="A157" s="1" t="n">
        <v>46220</v>
      </c>
      <c r="B157" s="2" t="s">
        <v>131</v>
      </c>
      <c r="C157" s="1" t="n">
        <v>46220</v>
      </c>
      <c r="D157" s="2" t="s">
        <v>141</v>
      </c>
      <c r="E157" s="0" t="s">
        <v>10</v>
      </c>
      <c r="F157" s="0" t="s">
        <v>62</v>
      </c>
      <c r="G157" s="0" t="n">
        <v>24848.7</v>
      </c>
      <c r="H157" s="0" t="n">
        <v>24828.7</v>
      </c>
      <c r="I157" s="0" t="n">
        <v>20</v>
      </c>
      <c r="J157" s="0" t="n">
        <f aca="false"> HLOOKUP(E157, $E$2:$I$3, 2, 0)</f>
        <v>0.37</v>
      </c>
      <c r="K157" s="0" t="n">
        <v>7.4</v>
      </c>
      <c r="L157" s="3" t="n">
        <f aca="false">IF($K157&gt;0,TRUE())</f>
        <v>1</v>
      </c>
      <c r="M157" s="4" t="n">
        <f aca="false">M156+K157</f>
        <v>250.88</v>
      </c>
      <c r="N157" s="4" t="str">
        <f aca="false">VLOOKUP(C157, Sheet2!$A$2:$E$166,  5)</f>
        <v>NO</v>
      </c>
      <c r="O157" s="4" t="n">
        <f aca="false">IF(N157="YES", K157, 0)</f>
        <v>0</v>
      </c>
      <c r="P157" s="4" t="n">
        <f aca="false">P156+O157</f>
        <v>439.05</v>
      </c>
      <c r="Q157" s="5" t="str">
        <f aca="false">IF(O157=0, "N/A", IF(O157&gt;0,TRUE()))</f>
        <v>N/A</v>
      </c>
      <c r="R157" s="3" t="n">
        <f aca="false">AND(TIMEVALUE(B157)&gt;=TIME(8,0,0), TIMEVALUE(B157)&lt;=TIME(16,30,0))</f>
        <v>1</v>
      </c>
      <c r="S157" s="5" t="n">
        <f aca="false">IF(AND(Q157=1, R157=1), O157, 0)</f>
        <v>0</v>
      </c>
      <c r="T157" s="4" t="n">
        <f aca="false">T156+S157</f>
        <v>806.72</v>
      </c>
    </row>
    <row r="158" customFormat="false" ht="12.8" hidden="false" customHeight="false" outlineLevel="0" collapsed="false">
      <c r="A158" s="1" t="n">
        <v>46220</v>
      </c>
      <c r="B158" s="2" t="s">
        <v>168</v>
      </c>
      <c r="C158" s="1" t="n">
        <v>46220</v>
      </c>
      <c r="D158" s="2" t="s">
        <v>169</v>
      </c>
      <c r="E158" s="0" t="s">
        <v>10</v>
      </c>
      <c r="F158" s="0" t="s">
        <v>62</v>
      </c>
      <c r="G158" s="0" t="n">
        <v>24858.2</v>
      </c>
      <c r="H158" s="0" t="n">
        <v>24813.7</v>
      </c>
      <c r="I158" s="0" t="n">
        <v>44.5</v>
      </c>
      <c r="J158" s="0" t="n">
        <f aca="false"> HLOOKUP(E158, $E$2:$I$3, 2, 0)</f>
        <v>0.37</v>
      </c>
      <c r="K158" s="0" t="n">
        <v>16.46</v>
      </c>
      <c r="L158" s="3" t="n">
        <f aca="false">IF($K158&gt;0,TRUE())</f>
        <v>1</v>
      </c>
      <c r="M158" s="4" t="n">
        <f aca="false">M157+K158</f>
        <v>267.34</v>
      </c>
      <c r="N158" s="4" t="str">
        <f aca="false">VLOOKUP(C158, Sheet2!$A$2:$E$166,  5)</f>
        <v>NO</v>
      </c>
      <c r="O158" s="4" t="n">
        <f aca="false">IF(N158="YES", K158, 0)</f>
        <v>0</v>
      </c>
      <c r="P158" s="4" t="n">
        <f aca="false">P157+O158</f>
        <v>439.05</v>
      </c>
      <c r="Q158" s="5" t="str">
        <f aca="false">IF(O158=0, "N/A", IF(O158&gt;0,TRUE()))</f>
        <v>N/A</v>
      </c>
      <c r="R158" s="3" t="n">
        <f aca="false">AND(TIMEVALUE(B158)&gt;=TIME(8,0,0), TIMEVALUE(B158)&lt;=TIME(16,30,0))</f>
        <v>0</v>
      </c>
      <c r="S158" s="5" t="n">
        <f aca="false">IF(AND(Q158=1, R158=1), O158, 0)</f>
        <v>0</v>
      </c>
      <c r="T158" s="4" t="n">
        <f aca="false">T157+S158</f>
        <v>806.72</v>
      </c>
    </row>
    <row r="159" customFormat="false" ht="12.8" hidden="false" customHeight="false" outlineLevel="0" collapsed="false">
      <c r="A159" s="1" t="n">
        <v>46223</v>
      </c>
      <c r="B159" s="2" t="s">
        <v>37</v>
      </c>
      <c r="C159" s="1" t="n">
        <v>46223</v>
      </c>
      <c r="D159" s="2" t="s">
        <v>98</v>
      </c>
      <c r="E159" s="0" t="s">
        <v>4</v>
      </c>
      <c r="F159" s="0" t="s">
        <v>62</v>
      </c>
      <c r="G159" s="0" t="n">
        <v>8351.1</v>
      </c>
      <c r="H159" s="0" t="n">
        <v>8352.1</v>
      </c>
      <c r="I159" s="0" t="n">
        <v>-1</v>
      </c>
      <c r="J159" s="0" t="n">
        <f aca="false"> HLOOKUP(E159, $E$2:$I$3, 2, 0)</f>
        <v>1</v>
      </c>
      <c r="K159" s="0" t="n">
        <v>-1</v>
      </c>
      <c r="L159" s="3" t="n">
        <f aca="false">IF($K159&gt;0,TRUE())</f>
        <v>0</v>
      </c>
      <c r="M159" s="4" t="n">
        <f aca="false">M158+K159</f>
        <v>266.34</v>
      </c>
      <c r="N159" s="4" t="str">
        <f aca="false">VLOOKUP(C159, Sheet2!$A$2:$E$166,  5)</f>
        <v>NO</v>
      </c>
      <c r="O159" s="4" t="n">
        <f aca="false">IF(N159="YES", K159, 0)</f>
        <v>0</v>
      </c>
      <c r="P159" s="4" t="n">
        <f aca="false">P158+O159</f>
        <v>439.05</v>
      </c>
      <c r="Q159" s="5" t="str">
        <f aca="false">IF(O159=0, "N/A", IF(O159&gt;0,TRUE()))</f>
        <v>N/A</v>
      </c>
      <c r="R159" s="3" t="n">
        <f aca="false">AND(TIMEVALUE(B159)&gt;=TIME(8,0,0), TIMEVALUE(B159)&lt;=TIME(16,30,0))</f>
        <v>1</v>
      </c>
      <c r="S159" s="5" t="n">
        <f aca="false">IF(AND(Q159=1, R159=1), O159, 0)</f>
        <v>0</v>
      </c>
      <c r="T159" s="4" t="n">
        <f aca="false">T158+S159</f>
        <v>806.72</v>
      </c>
    </row>
    <row r="160" customFormat="false" ht="12.8" hidden="false" customHeight="false" outlineLevel="0" collapsed="false">
      <c r="A160" s="1" t="n">
        <v>46223</v>
      </c>
      <c r="B160" s="2" t="s">
        <v>43</v>
      </c>
      <c r="C160" s="1" t="n">
        <v>46223</v>
      </c>
      <c r="D160" s="2" t="s">
        <v>167</v>
      </c>
      <c r="E160" s="0" t="s">
        <v>9</v>
      </c>
      <c r="F160" s="0" t="s">
        <v>34</v>
      </c>
      <c r="G160" s="0" t="n">
        <v>10550.7</v>
      </c>
      <c r="H160" s="0" t="n">
        <v>10561.5</v>
      </c>
      <c r="I160" s="0" t="n">
        <v>10.8</v>
      </c>
      <c r="J160" s="0" t="n">
        <f aca="false"> HLOOKUP(E160, $E$2:$I$3, 2, 0)</f>
        <v>0.8</v>
      </c>
      <c r="K160" s="0" t="n">
        <v>8.64</v>
      </c>
      <c r="L160" s="3" t="n">
        <f aca="false">IF($K160&gt;0,TRUE())</f>
        <v>1</v>
      </c>
      <c r="M160" s="4" t="n">
        <f aca="false">M159+K160</f>
        <v>274.98</v>
      </c>
      <c r="N160" s="4" t="str">
        <f aca="false">VLOOKUP(C160, Sheet2!$A$2:$E$166,  5)</f>
        <v>NO</v>
      </c>
      <c r="O160" s="4" t="n">
        <f aca="false">IF(N160="YES", K160, 0)</f>
        <v>0</v>
      </c>
      <c r="P160" s="4" t="n">
        <f aca="false">P159+O160</f>
        <v>439.05</v>
      </c>
      <c r="Q160" s="5" t="str">
        <f aca="false">IF(O160=0, "N/A", IF(O160&gt;0,TRUE()))</f>
        <v>N/A</v>
      </c>
      <c r="R160" s="3" t="n">
        <f aca="false">AND(TIMEVALUE(B160)&gt;=TIME(8,0,0), TIMEVALUE(B160)&lt;=TIME(16,30,0))</f>
        <v>1</v>
      </c>
      <c r="S160" s="5" t="n">
        <f aca="false">IF(AND(Q160=1, R160=1), O160, 0)</f>
        <v>0</v>
      </c>
      <c r="T160" s="4" t="n">
        <f aca="false">T159+S160</f>
        <v>806.72</v>
      </c>
    </row>
    <row r="161" customFormat="false" ht="12.8" hidden="false" customHeight="false" outlineLevel="0" collapsed="false">
      <c r="A161" s="1" t="n">
        <v>46223</v>
      </c>
      <c r="B161" s="2" t="s">
        <v>146</v>
      </c>
      <c r="C161" s="1" t="n">
        <v>46223</v>
      </c>
      <c r="D161" s="2" t="s">
        <v>141</v>
      </c>
      <c r="E161" s="0" t="s">
        <v>9</v>
      </c>
      <c r="F161" s="0" t="s">
        <v>34</v>
      </c>
      <c r="G161" s="0" t="n">
        <v>10524.4</v>
      </c>
      <c r="H161" s="0" t="n">
        <v>10514.3</v>
      </c>
      <c r="I161" s="0" t="n">
        <v>-10.1</v>
      </c>
      <c r="J161" s="0" t="n">
        <f aca="false"> HLOOKUP(E161, $E$2:$I$3, 2, 0)</f>
        <v>0.8</v>
      </c>
      <c r="K161" s="0" t="n">
        <v>-8.08</v>
      </c>
      <c r="L161" s="3" t="n">
        <f aca="false">IF($K161&gt;0,TRUE())</f>
        <v>0</v>
      </c>
      <c r="M161" s="4" t="n">
        <f aca="false">M160+K161</f>
        <v>266.9</v>
      </c>
      <c r="N161" s="4" t="str">
        <f aca="false">VLOOKUP(C161, Sheet2!$A$2:$E$166,  5)</f>
        <v>NO</v>
      </c>
      <c r="O161" s="4" t="n">
        <f aca="false">IF(N161="YES", K161, 0)</f>
        <v>0</v>
      </c>
      <c r="P161" s="4" t="n">
        <f aca="false">P160+O161</f>
        <v>439.05</v>
      </c>
      <c r="Q161" s="5" t="str">
        <f aca="false">IF(O161=0, "N/A", IF(O161&gt;0,TRUE()))</f>
        <v>N/A</v>
      </c>
      <c r="R161" s="3" t="n">
        <f aca="false">AND(TIMEVALUE(B161)&gt;=TIME(8,0,0), TIMEVALUE(B161)&lt;=TIME(16,30,0))</f>
        <v>1</v>
      </c>
      <c r="S161" s="5" t="n">
        <f aca="false">IF(AND(Q161=1, R161=1), O161, 0)</f>
        <v>0</v>
      </c>
      <c r="T161" s="4" t="n">
        <f aca="false">T160+S161</f>
        <v>806.72</v>
      </c>
    </row>
    <row r="162" customFormat="false" ht="12.8" hidden="false" customHeight="false" outlineLevel="0" collapsed="false">
      <c r="A162" s="1" t="n">
        <v>46223</v>
      </c>
      <c r="B162" s="2" t="s">
        <v>170</v>
      </c>
      <c r="C162" s="1" t="n">
        <v>46223</v>
      </c>
      <c r="D162" s="2" t="s">
        <v>59</v>
      </c>
      <c r="E162" s="0" t="s">
        <v>9</v>
      </c>
      <c r="F162" s="0" t="s">
        <v>34</v>
      </c>
      <c r="G162" s="0" t="n">
        <v>10465.5</v>
      </c>
      <c r="H162" s="0" t="n">
        <v>10461.8</v>
      </c>
      <c r="I162" s="0" t="n">
        <v>-3.7</v>
      </c>
      <c r="J162" s="0" t="n">
        <f aca="false"> HLOOKUP(E162, $E$2:$I$3, 2, 0)</f>
        <v>0.8</v>
      </c>
      <c r="K162" s="0" t="n">
        <v>-2.96</v>
      </c>
      <c r="L162" s="3" t="n">
        <f aca="false">IF($K162&gt;0,TRUE())</f>
        <v>0</v>
      </c>
      <c r="M162" s="4" t="n">
        <f aca="false">M161+K162</f>
        <v>263.94</v>
      </c>
      <c r="N162" s="4" t="str">
        <f aca="false">VLOOKUP(C162, Sheet2!$A$2:$E$166,  5)</f>
        <v>NO</v>
      </c>
      <c r="O162" s="4" t="n">
        <f aca="false">IF(N162="YES", K162, 0)</f>
        <v>0</v>
      </c>
      <c r="P162" s="4" t="n">
        <f aca="false">P161+O162</f>
        <v>439.05</v>
      </c>
      <c r="Q162" s="5" t="str">
        <f aca="false">IF(O162=0, "N/A", IF(O162&gt;0,TRUE()))</f>
        <v>N/A</v>
      </c>
      <c r="R162" s="3" t="n">
        <f aca="false">AND(TIMEVALUE(B162)&gt;=TIME(8,0,0), TIMEVALUE(B162)&lt;=TIME(16,30,0))</f>
        <v>0</v>
      </c>
      <c r="S162" s="5" t="n">
        <f aca="false">IF(AND(Q162=1, R162=1), O162, 0)</f>
        <v>0</v>
      </c>
      <c r="T162" s="4" t="n">
        <f aca="false">T161+S162</f>
        <v>806.72</v>
      </c>
    </row>
    <row r="163" customFormat="false" ht="12.8" hidden="false" customHeight="false" outlineLevel="0" collapsed="false">
      <c r="A163" s="1" t="n">
        <v>46224</v>
      </c>
      <c r="B163" s="2" t="s">
        <v>171</v>
      </c>
      <c r="C163" s="1" t="n">
        <v>46224</v>
      </c>
      <c r="D163" s="2" t="s">
        <v>172</v>
      </c>
      <c r="E163" s="0" t="s">
        <v>10</v>
      </c>
      <c r="F163" s="0" t="s">
        <v>62</v>
      </c>
      <c r="G163" s="0" t="n">
        <v>24816.8</v>
      </c>
      <c r="H163" s="0" t="n">
        <v>24823.6</v>
      </c>
      <c r="I163" s="0" t="n">
        <v>-6.8</v>
      </c>
      <c r="J163" s="0" t="n">
        <f aca="false"> HLOOKUP(E163, $E$2:$I$3, 2, 0)</f>
        <v>0.37</v>
      </c>
      <c r="K163" s="0" t="n">
        <v>-2.72</v>
      </c>
      <c r="L163" s="3" t="n">
        <f aca="false">IF($K163&gt;0,TRUE())</f>
        <v>0</v>
      </c>
      <c r="M163" s="4" t="n">
        <f aca="false">M162+K163</f>
        <v>261.22</v>
      </c>
      <c r="N163" s="4" t="str">
        <f aca="false">VLOOKUP(C163, Sheet2!$A$2:$E$166,  5)</f>
        <v>YES</v>
      </c>
      <c r="O163" s="4" t="n">
        <f aca="false">IF(N163="YES", K163, 0)</f>
        <v>-2.72</v>
      </c>
      <c r="P163" s="4" t="n">
        <f aca="false">P162+O163</f>
        <v>436.33</v>
      </c>
      <c r="Q163" s="3" t="b">
        <f aca="false">IF(O163=0, "N/A", IF(O163&gt;0,TRUE()))</f>
        <v>0</v>
      </c>
      <c r="R163" s="3" t="n">
        <f aca="false">AND(TIMEVALUE(B163)&gt;=TIME(8,0,0), TIMEVALUE(B163)&lt;=TIME(16,30,0))</f>
        <v>0</v>
      </c>
      <c r="S163" s="5" t="n">
        <f aca="false">IF(AND(Q163=1, R163=1), O163, 0)</f>
        <v>0</v>
      </c>
      <c r="T163" s="4" t="n">
        <f aca="false">T162+S163</f>
        <v>806.72</v>
      </c>
    </row>
    <row r="164" customFormat="false" ht="12.8" hidden="false" customHeight="false" outlineLevel="0" collapsed="false">
      <c r="A164" s="1" t="n">
        <v>46224</v>
      </c>
      <c r="B164" s="2" t="s">
        <v>73</v>
      </c>
      <c r="C164" s="1" t="n">
        <v>46224</v>
      </c>
      <c r="D164" s="2" t="s">
        <v>113</v>
      </c>
      <c r="E164" s="0" t="s">
        <v>4</v>
      </c>
      <c r="F164" s="0" t="s">
        <v>62</v>
      </c>
      <c r="G164" s="0" t="n">
        <v>8332.5</v>
      </c>
      <c r="H164" s="0" t="n">
        <v>8364.9</v>
      </c>
      <c r="I164" s="0" t="n">
        <v>-32.4</v>
      </c>
      <c r="J164" s="0" t="n">
        <f aca="false"> HLOOKUP(E164, $E$2:$I$3, 2, 0)</f>
        <v>1</v>
      </c>
      <c r="K164" s="0" t="n">
        <v>-35.64</v>
      </c>
      <c r="L164" s="3" t="n">
        <f aca="false">IF($K164&gt;0,TRUE())</f>
        <v>0</v>
      </c>
      <c r="M164" s="4" t="n">
        <f aca="false">M163+K164</f>
        <v>225.58</v>
      </c>
      <c r="N164" s="4" t="str">
        <f aca="false">VLOOKUP(C164, Sheet2!$A$2:$E$166,  5)</f>
        <v>YES</v>
      </c>
      <c r="O164" s="4" t="n">
        <f aca="false">IF(N164="YES", K164, 0)</f>
        <v>-35.64</v>
      </c>
      <c r="P164" s="4" t="n">
        <f aca="false">P163+O164</f>
        <v>400.69</v>
      </c>
      <c r="Q164" s="3" t="b">
        <f aca="false">IF(O164=0, "N/A", IF(O164&gt;0,TRUE()))</f>
        <v>0</v>
      </c>
      <c r="R164" s="3" t="n">
        <f aca="false">AND(TIMEVALUE(B164)&gt;=TIME(8,0,0), TIMEVALUE(B164)&lt;=TIME(16,30,0))</f>
        <v>0</v>
      </c>
      <c r="S164" s="5" t="n">
        <f aca="false">IF(AND(Q164=1, R164=1), O164, 0)</f>
        <v>0</v>
      </c>
      <c r="T164" s="4" t="n">
        <f aca="false">T163+S164</f>
        <v>806.72</v>
      </c>
    </row>
    <row r="165" customFormat="false" ht="12.8" hidden="false" customHeight="false" outlineLevel="0" collapsed="false">
      <c r="A165" s="1" t="n">
        <v>46224</v>
      </c>
      <c r="B165" s="2" t="s">
        <v>49</v>
      </c>
      <c r="C165" s="1" t="n">
        <v>46224</v>
      </c>
      <c r="D165" s="2" t="s">
        <v>92</v>
      </c>
      <c r="E165" s="0" t="s">
        <v>9</v>
      </c>
      <c r="F165" s="0" t="s">
        <v>62</v>
      </c>
      <c r="G165" s="0" t="n">
        <v>10557.3</v>
      </c>
      <c r="H165" s="0" t="n">
        <v>10540</v>
      </c>
      <c r="I165" s="0" t="n">
        <v>17.3</v>
      </c>
      <c r="J165" s="0" t="n">
        <f aca="false"> HLOOKUP(E165, $E$2:$I$3, 2, 0)</f>
        <v>0.8</v>
      </c>
      <c r="K165" s="0" t="n">
        <v>13.84</v>
      </c>
      <c r="L165" s="3" t="n">
        <f aca="false">IF($K165&gt;0,TRUE())</f>
        <v>1</v>
      </c>
      <c r="M165" s="4" t="n">
        <f aca="false">M164+K165</f>
        <v>239.42</v>
      </c>
      <c r="N165" s="4" t="str">
        <f aca="false">VLOOKUP(C165, Sheet2!$A$2:$E$166,  5)</f>
        <v>YES</v>
      </c>
      <c r="O165" s="4" t="n">
        <f aca="false">IF(N165="YES", K165, 0)</f>
        <v>13.84</v>
      </c>
      <c r="P165" s="4" t="n">
        <f aca="false">P164+O165</f>
        <v>414.53</v>
      </c>
      <c r="Q165" s="3" t="b">
        <f aca="false">IF(O165=0, "N/A", IF(O165&gt;0,TRUE()))</f>
        <v>1</v>
      </c>
      <c r="R165" s="3" t="n">
        <f aca="false">AND(TIMEVALUE(B165)&gt;=TIME(8,0,0), TIMEVALUE(B165)&lt;=TIME(16,30,0))</f>
        <v>1</v>
      </c>
      <c r="S165" s="5" t="n">
        <f aca="false">IF(AND(Q165=1, R165=1), O165, 0)</f>
        <v>13.84</v>
      </c>
      <c r="T165" s="4" t="n">
        <f aca="false">T164+S165</f>
        <v>820.56</v>
      </c>
    </row>
    <row r="166" customFormat="false" ht="12.8" hidden="false" customHeight="false" outlineLevel="0" collapsed="false">
      <c r="A166" s="1" t="n">
        <v>46224</v>
      </c>
      <c r="B166" s="2" t="s">
        <v>146</v>
      </c>
      <c r="C166" s="1" t="n">
        <v>46224</v>
      </c>
      <c r="D166" s="2" t="s">
        <v>173</v>
      </c>
      <c r="E166" s="0" t="s">
        <v>9</v>
      </c>
      <c r="F166" s="0" t="s">
        <v>62</v>
      </c>
      <c r="G166" s="0" t="n">
        <v>10562.8</v>
      </c>
      <c r="H166" s="0" t="n">
        <v>10595.6</v>
      </c>
      <c r="I166" s="0" t="n">
        <v>-32.8</v>
      </c>
      <c r="J166" s="0" t="n">
        <f aca="false"> HLOOKUP(E166, $E$2:$I$3, 2, 0)</f>
        <v>0.8</v>
      </c>
      <c r="K166" s="0" t="n">
        <v>-26.24</v>
      </c>
      <c r="L166" s="3" t="n">
        <f aca="false">IF($K166&gt;0,TRUE())</f>
        <v>0</v>
      </c>
      <c r="M166" s="4" t="n">
        <f aca="false">M165+K166</f>
        <v>213.18</v>
      </c>
      <c r="N166" s="4" t="str">
        <f aca="false">VLOOKUP(C166, Sheet2!$A$2:$E$166,  5)</f>
        <v>YES</v>
      </c>
      <c r="O166" s="4" t="n">
        <f aca="false">IF(N166="YES", K166, 0)</f>
        <v>-26.24</v>
      </c>
      <c r="P166" s="4" t="n">
        <f aca="false">P165+O166</f>
        <v>388.29</v>
      </c>
      <c r="Q166" s="3" t="b">
        <f aca="false">IF(O166=0, "N/A", IF(O166&gt;0,TRUE()))</f>
        <v>0</v>
      </c>
      <c r="R166" s="3" t="n">
        <f aca="false">AND(TIMEVALUE(B166)&gt;=TIME(8,0,0), TIMEVALUE(B166)&lt;=TIME(16,30,0))</f>
        <v>1</v>
      </c>
      <c r="S166" s="5" t="n">
        <f aca="false">IF(AND(Q166=1, R166=1), O166, 0)</f>
        <v>0</v>
      </c>
      <c r="T166" s="4" t="n">
        <f aca="false">T165+S166</f>
        <v>820.56</v>
      </c>
    </row>
    <row r="167" customFormat="false" ht="12.8" hidden="false" customHeight="false" outlineLevel="0" collapsed="false">
      <c r="A167" s="1" t="n">
        <v>46225</v>
      </c>
      <c r="B167" s="2" t="s">
        <v>39</v>
      </c>
      <c r="C167" s="1" t="n">
        <v>46225</v>
      </c>
      <c r="D167" s="2" t="s">
        <v>154</v>
      </c>
      <c r="E167" s="0" t="s">
        <v>9</v>
      </c>
      <c r="F167" s="0" t="s">
        <v>34</v>
      </c>
      <c r="G167" s="0" t="n">
        <v>10604.5</v>
      </c>
      <c r="H167" s="0" t="n">
        <v>10599.6</v>
      </c>
      <c r="I167" s="0" t="n">
        <v>-4.9</v>
      </c>
      <c r="J167" s="0" t="n">
        <f aca="false"> HLOOKUP(E167, $E$2:$I$3, 2, 0)</f>
        <v>0.8</v>
      </c>
      <c r="K167" s="0" t="n">
        <v>-4.31</v>
      </c>
      <c r="L167" s="3" t="n">
        <f aca="false">IF($K167&gt;0,TRUE())</f>
        <v>0</v>
      </c>
      <c r="M167" s="4" t="n">
        <f aca="false">M166+K167</f>
        <v>208.87</v>
      </c>
      <c r="N167" s="4" t="str">
        <f aca="false">VLOOKUP(C167, Sheet2!$A$2:$E$166,  5)</f>
        <v>NO</v>
      </c>
      <c r="O167" s="4" t="n">
        <f aca="false">IF(N167="YES", K167, 0)</f>
        <v>0</v>
      </c>
      <c r="P167" s="4" t="n">
        <f aca="false">P166+O167</f>
        <v>388.29</v>
      </c>
      <c r="Q167" s="5" t="str">
        <f aca="false">IF(O167=0, "N/A", IF(O167&gt;0,TRUE()))</f>
        <v>N/A</v>
      </c>
      <c r="R167" s="3" t="n">
        <f aca="false">AND(TIMEVALUE(B167)&gt;=TIME(8,0,0), TIMEVALUE(B167)&lt;=TIME(16,30,0))</f>
        <v>0</v>
      </c>
      <c r="S167" s="5" t="n">
        <f aca="false">IF(AND(Q167=1, R167=1), O167, 0)</f>
        <v>0</v>
      </c>
      <c r="T167" s="4" t="n">
        <f aca="false">T166+S167</f>
        <v>820.56</v>
      </c>
    </row>
    <row r="168" customFormat="false" ht="12.8" hidden="false" customHeight="false" outlineLevel="0" collapsed="false">
      <c r="A168" s="1" t="n">
        <v>46226</v>
      </c>
      <c r="B168" s="2" t="s">
        <v>45</v>
      </c>
      <c r="C168" s="1" t="n">
        <v>46226</v>
      </c>
      <c r="D168" s="2" t="s">
        <v>53</v>
      </c>
      <c r="E168" s="0" t="s">
        <v>10</v>
      </c>
      <c r="F168" s="0" t="s">
        <v>34</v>
      </c>
      <c r="G168" s="0" t="n">
        <v>25071.4</v>
      </c>
      <c r="H168" s="0" t="n">
        <v>25021</v>
      </c>
      <c r="I168" s="0" t="n">
        <v>-50.4</v>
      </c>
      <c r="J168" s="0" t="n">
        <f aca="false"> HLOOKUP(E168, $E$2:$I$3, 2, 0)</f>
        <v>0.37</v>
      </c>
      <c r="K168" s="0" t="n">
        <v>-20.16</v>
      </c>
      <c r="L168" s="3" t="n">
        <f aca="false">IF($K168&gt;0,TRUE())</f>
        <v>0</v>
      </c>
      <c r="M168" s="4" t="n">
        <f aca="false">M167+K168</f>
        <v>188.71</v>
      </c>
      <c r="N168" s="4" t="str">
        <f aca="false">VLOOKUP(C168, Sheet2!$A$2:$E$166,  5)</f>
        <v>NO</v>
      </c>
      <c r="O168" s="4" t="n">
        <f aca="false">IF(N168="YES", K168, 0)</f>
        <v>0</v>
      </c>
      <c r="P168" s="4" t="n">
        <f aca="false">P167+O168</f>
        <v>388.29</v>
      </c>
      <c r="Q168" s="5" t="str">
        <f aca="false">IF(O168=0, "N/A", IF(O168&gt;0,TRUE()))</f>
        <v>N/A</v>
      </c>
      <c r="R168" s="3" t="n">
        <f aca="false">AND(TIMEVALUE(B168)&gt;=TIME(8,0,0), TIMEVALUE(B168)&lt;=TIME(16,30,0))</f>
        <v>0</v>
      </c>
      <c r="S168" s="5" t="n">
        <f aca="false">IF(AND(Q168=1, R168=1), O168, 0)</f>
        <v>0</v>
      </c>
      <c r="T168" s="4" t="n">
        <f aca="false">T167+S168</f>
        <v>820.56</v>
      </c>
    </row>
    <row r="169" customFormat="false" ht="12.8" hidden="false" customHeight="false" outlineLevel="0" collapsed="false">
      <c r="A169" s="1" t="n">
        <v>46226</v>
      </c>
      <c r="B169" s="2" t="s">
        <v>64</v>
      </c>
      <c r="C169" s="1" t="n">
        <v>46226</v>
      </c>
      <c r="D169" s="2" t="s">
        <v>141</v>
      </c>
      <c r="E169" s="0" t="s">
        <v>9</v>
      </c>
      <c r="F169" s="0" t="s">
        <v>34</v>
      </c>
      <c r="G169" s="0" t="n">
        <v>10647.2</v>
      </c>
      <c r="H169" s="0" t="n">
        <v>10642.7</v>
      </c>
      <c r="I169" s="0" t="n">
        <v>-4.5</v>
      </c>
      <c r="J169" s="0" t="n">
        <f aca="false"> HLOOKUP(E169, $E$2:$I$3, 2, 0)</f>
        <v>0.8</v>
      </c>
      <c r="K169" s="0" t="n">
        <v>-3.6</v>
      </c>
      <c r="L169" s="3" t="n">
        <f aca="false">IF($K169&gt;0,TRUE())</f>
        <v>0</v>
      </c>
      <c r="M169" s="4" t="n">
        <f aca="false">M168+K169</f>
        <v>185.11</v>
      </c>
      <c r="N169" s="4" t="str">
        <f aca="false">VLOOKUP(C169, Sheet2!$A$2:$E$166,  5)</f>
        <v>NO</v>
      </c>
      <c r="O169" s="4" t="n">
        <f aca="false">IF(N169="YES", K169, 0)</f>
        <v>0</v>
      </c>
      <c r="P169" s="4" t="n">
        <f aca="false">P168+O169</f>
        <v>388.29</v>
      </c>
      <c r="Q169" s="5" t="str">
        <f aca="false">IF(O169=0, "N/A", IF(O169&gt;0,TRUE()))</f>
        <v>N/A</v>
      </c>
      <c r="R169" s="3" t="n">
        <f aca="false">AND(TIMEVALUE(B169)&gt;=TIME(8,0,0), TIMEVALUE(B169)&lt;=TIME(16,30,0))</f>
        <v>1</v>
      </c>
      <c r="S169" s="5" t="n">
        <f aca="false">IF(AND(Q169=1, R169=1), O169, 0)</f>
        <v>0</v>
      </c>
      <c r="T169" s="4" t="n">
        <f aca="false">T168+S169</f>
        <v>820.56</v>
      </c>
    </row>
    <row r="170" customFormat="false" ht="12.8" hidden="false" customHeight="false" outlineLevel="0" collapsed="false">
      <c r="A170" s="1" t="n">
        <v>46227</v>
      </c>
      <c r="B170" s="2" t="s">
        <v>56</v>
      </c>
      <c r="C170" s="1" t="n">
        <v>46227</v>
      </c>
      <c r="D170" s="2" t="s">
        <v>138</v>
      </c>
      <c r="E170" s="0" t="s">
        <v>10</v>
      </c>
      <c r="F170" s="0" t="s">
        <v>62</v>
      </c>
      <c r="G170" s="0" t="n">
        <v>24751.5</v>
      </c>
      <c r="H170" s="0" t="n">
        <v>24830.9</v>
      </c>
      <c r="I170" s="0" t="n">
        <v>-79.4</v>
      </c>
      <c r="J170" s="0" t="n">
        <f aca="false"> HLOOKUP(E170, $E$2:$I$3, 2, 0)</f>
        <v>0.37</v>
      </c>
      <c r="K170" s="0" t="n">
        <v>-31.76</v>
      </c>
      <c r="L170" s="3" t="n">
        <f aca="false">IF($K170&gt;0,TRUE())</f>
        <v>0</v>
      </c>
      <c r="M170" s="4" t="n">
        <f aca="false">M169+K170</f>
        <v>153.35</v>
      </c>
      <c r="N170" s="4" t="str">
        <f aca="false">VLOOKUP(C170, Sheet2!$A$2:$E$166,  5)</f>
        <v>NO</v>
      </c>
      <c r="O170" s="4" t="n">
        <f aca="false">IF(N170="YES", K170, 0)</f>
        <v>0</v>
      </c>
      <c r="P170" s="4" t="n">
        <f aca="false">P169+O170</f>
        <v>388.29</v>
      </c>
      <c r="Q170" s="5" t="str">
        <f aca="false">IF(O170=0, "N/A", IF(O170&gt;0,TRUE()))</f>
        <v>N/A</v>
      </c>
      <c r="R170" s="3" t="n">
        <f aca="false">AND(TIMEVALUE(B170)&gt;=TIME(8,0,0), TIMEVALUE(B170)&lt;=TIME(16,30,0))</f>
        <v>0</v>
      </c>
      <c r="S170" s="5" t="n">
        <f aca="false">IF(AND(Q170=1, R170=1), O170, 0)</f>
        <v>0</v>
      </c>
      <c r="T170" s="4" t="n">
        <f aca="false">T169+S170</f>
        <v>820.56</v>
      </c>
    </row>
    <row r="171" customFormat="false" ht="12.8" hidden="false" customHeight="false" outlineLevel="0" collapsed="false">
      <c r="A171" s="1" t="n">
        <v>46227</v>
      </c>
      <c r="B171" s="2" t="s">
        <v>174</v>
      </c>
      <c r="C171" s="1" t="n">
        <v>46227</v>
      </c>
      <c r="D171" s="2" t="s">
        <v>86</v>
      </c>
      <c r="E171" s="0" t="s">
        <v>4</v>
      </c>
      <c r="F171" s="0" t="s">
        <v>62</v>
      </c>
      <c r="G171" s="0" t="n">
        <v>8314.6</v>
      </c>
      <c r="H171" s="0" t="n">
        <v>8335.2</v>
      </c>
      <c r="I171" s="0" t="n">
        <v>-20.6</v>
      </c>
      <c r="J171" s="0" t="n">
        <f aca="false"> HLOOKUP(E171, $E$2:$I$3, 2, 0)</f>
        <v>1</v>
      </c>
      <c r="K171" s="0" t="n">
        <v>-22.66</v>
      </c>
      <c r="L171" s="3" t="n">
        <f aca="false">IF($K171&gt;0,TRUE())</f>
        <v>0</v>
      </c>
      <c r="M171" s="4" t="n">
        <f aca="false">M170+K171</f>
        <v>130.69</v>
      </c>
      <c r="N171" s="4" t="str">
        <f aca="false">VLOOKUP(C171, Sheet2!$A$2:$E$166,  5)</f>
        <v>NO</v>
      </c>
      <c r="O171" s="4" t="n">
        <f aca="false">IF(N171="YES", K171, 0)</f>
        <v>0</v>
      </c>
      <c r="P171" s="4" t="n">
        <f aca="false">P170+O171</f>
        <v>388.29</v>
      </c>
      <c r="Q171" s="5" t="str">
        <f aca="false">IF(O171=0, "N/A", IF(O171&gt;0,TRUE()))</f>
        <v>N/A</v>
      </c>
      <c r="R171" s="3" t="n">
        <f aca="false">AND(TIMEVALUE(B171)&gt;=TIME(8,0,0), TIMEVALUE(B171)&lt;=TIME(16,30,0))</f>
        <v>0</v>
      </c>
      <c r="S171" s="5" t="n">
        <f aca="false">IF(AND(Q171=1, R171=1), O171, 0)</f>
        <v>0</v>
      </c>
      <c r="T171" s="4" t="n">
        <f aca="false">T170+S171</f>
        <v>820.56</v>
      </c>
    </row>
    <row r="172" customFormat="false" ht="12.8" hidden="false" customHeight="false" outlineLevel="0" collapsed="false">
      <c r="A172" s="1" t="n">
        <v>46227</v>
      </c>
      <c r="B172" s="2" t="s">
        <v>175</v>
      </c>
      <c r="C172" s="1" t="n">
        <v>46227</v>
      </c>
      <c r="D172" s="2" t="s">
        <v>176</v>
      </c>
      <c r="E172" s="0" t="s">
        <v>4</v>
      </c>
      <c r="F172" s="0" t="s">
        <v>62</v>
      </c>
      <c r="G172" s="0" t="n">
        <v>8375.4</v>
      </c>
      <c r="H172" s="0" t="n">
        <v>8355.4</v>
      </c>
      <c r="I172" s="0" t="n">
        <v>20</v>
      </c>
      <c r="J172" s="0" t="n">
        <f aca="false"> HLOOKUP(E172, $E$2:$I$3, 2, 0)</f>
        <v>1</v>
      </c>
      <c r="K172" s="0" t="n">
        <v>20</v>
      </c>
      <c r="L172" s="3" t="n">
        <f aca="false">IF($K172&gt;0,TRUE())</f>
        <v>1</v>
      </c>
      <c r="M172" s="4" t="n">
        <f aca="false">M171+K172</f>
        <v>150.69</v>
      </c>
      <c r="N172" s="4" t="str">
        <f aca="false">VLOOKUP(C172, Sheet2!$A$2:$E$166,  5)</f>
        <v>NO</v>
      </c>
      <c r="O172" s="4" t="n">
        <f aca="false">IF(N172="YES", K172, 0)</f>
        <v>0</v>
      </c>
      <c r="P172" s="4" t="n">
        <f aca="false">P171+O172</f>
        <v>388.29</v>
      </c>
      <c r="Q172" s="5" t="str">
        <f aca="false">IF(O172=0, "N/A", IF(O172&gt;0,TRUE()))</f>
        <v>N/A</v>
      </c>
      <c r="R172" s="3" t="n">
        <f aca="false">AND(TIMEVALUE(B172)&gt;=TIME(8,0,0), TIMEVALUE(B172)&lt;=TIME(16,30,0))</f>
        <v>0</v>
      </c>
      <c r="S172" s="5" t="n">
        <f aca="false">IF(AND(Q172=1, R172=1), O172, 0)</f>
        <v>0</v>
      </c>
      <c r="T172" s="4" t="n">
        <f aca="false">T171+S172</f>
        <v>820.56</v>
      </c>
    </row>
    <row r="173" customFormat="false" ht="12.8" hidden="false" customHeight="false" outlineLevel="0" collapsed="false">
      <c r="A173" s="1" t="n">
        <v>46231</v>
      </c>
      <c r="B173" s="2" t="s">
        <v>66</v>
      </c>
      <c r="C173" s="1" t="n">
        <v>46231</v>
      </c>
      <c r="D173" s="2" t="s">
        <v>177</v>
      </c>
      <c r="E173" s="0" t="s">
        <v>4</v>
      </c>
      <c r="F173" s="0" t="s">
        <v>34</v>
      </c>
      <c r="G173" s="0" t="n">
        <v>8421.7</v>
      </c>
      <c r="H173" s="0" t="n">
        <v>8456</v>
      </c>
      <c r="I173" s="0" t="n">
        <v>34.3</v>
      </c>
      <c r="J173" s="0" t="n">
        <f aca="false"> HLOOKUP(E173, $E$2:$I$3, 2, 0)</f>
        <v>1</v>
      </c>
      <c r="K173" s="0" t="n">
        <v>37.73</v>
      </c>
      <c r="L173" s="3" t="n">
        <f aca="false">IF($K173&gt;0,TRUE())</f>
        <v>1</v>
      </c>
      <c r="M173" s="4" t="n">
        <f aca="false">M172+K173</f>
        <v>188.42</v>
      </c>
      <c r="N173" s="4" t="str">
        <f aca="false">VLOOKUP(C173, Sheet2!$A$2:$E$166,  5)</f>
        <v>YES</v>
      </c>
      <c r="O173" s="4" t="n">
        <f aca="false">IF(N173="YES", K173, 0)</f>
        <v>37.73</v>
      </c>
      <c r="P173" s="4" t="n">
        <f aca="false">P172+O173</f>
        <v>426.02</v>
      </c>
      <c r="Q173" s="3" t="b">
        <f aca="false">IF(O173=0, "N/A", IF(O173&gt;0,TRUE()))</f>
        <v>1</v>
      </c>
      <c r="R173" s="3" t="n">
        <f aca="false">AND(TIMEVALUE(B173)&gt;=TIME(8,0,0), TIMEVALUE(B173)&lt;=TIME(16,30,0))</f>
        <v>1</v>
      </c>
      <c r="S173" s="5" t="n">
        <f aca="false">IF(AND(Q173=1, R173=1), O173, 0)</f>
        <v>37.73</v>
      </c>
      <c r="T173" s="4" t="n">
        <f aca="false">T172+S173</f>
        <v>858.29</v>
      </c>
    </row>
    <row r="174" customFormat="false" ht="12.8" hidden="false" customHeight="false" outlineLevel="0" collapsed="false">
      <c r="A174" s="1" t="n">
        <v>46232</v>
      </c>
      <c r="B174" s="2" t="s">
        <v>91</v>
      </c>
      <c r="C174" s="1" t="n">
        <v>46232</v>
      </c>
      <c r="D174" s="2" t="s">
        <v>54</v>
      </c>
      <c r="E174" s="0" t="s">
        <v>4</v>
      </c>
      <c r="F174" s="0" t="s">
        <v>34</v>
      </c>
      <c r="G174" s="0" t="n">
        <v>8426.9</v>
      </c>
      <c r="H174" s="0" t="n">
        <v>8395.5</v>
      </c>
      <c r="I174" s="0" t="n">
        <v>-31.4</v>
      </c>
      <c r="J174" s="0" t="n">
        <f aca="false"> HLOOKUP(E174, $E$2:$I$3, 2, 0)</f>
        <v>1</v>
      </c>
      <c r="K174" s="0" t="n">
        <v>-31.4</v>
      </c>
      <c r="L174" s="3" t="n">
        <f aca="false">IF($K174&gt;0,TRUE())</f>
        <v>0</v>
      </c>
      <c r="M174" s="4" t="n">
        <f aca="false">M173+K174</f>
        <v>157.02</v>
      </c>
      <c r="N174" s="4" t="str">
        <f aca="false">VLOOKUP(C174, Sheet2!$A$2:$E$166,  5)</f>
        <v>YES</v>
      </c>
      <c r="O174" s="4" t="n">
        <f aca="false">IF(N174="YES", K174, 0)</f>
        <v>-31.4</v>
      </c>
      <c r="P174" s="4" t="n">
        <f aca="false">P173+O174</f>
        <v>394.62</v>
      </c>
      <c r="Q174" s="3" t="b">
        <f aca="false">IF(O174=0, "N/A", IF(O174&gt;0,TRUE()))</f>
        <v>0</v>
      </c>
      <c r="R174" s="3" t="n">
        <f aca="false">AND(TIMEVALUE(B174)&gt;=TIME(8,0,0), TIMEVALUE(B174)&lt;=TIME(16,30,0))</f>
        <v>1</v>
      </c>
      <c r="S174" s="5" t="n">
        <f aca="false">IF(AND(Q174=1, R174=1), O174, 0)</f>
        <v>0</v>
      </c>
      <c r="T174" s="4" t="n">
        <f aca="false">T173+S174</f>
        <v>858.29</v>
      </c>
    </row>
    <row r="175" customFormat="false" ht="12.8" hidden="false" customHeight="false" outlineLevel="0" collapsed="false">
      <c r="A175" s="1" t="n">
        <v>46232</v>
      </c>
      <c r="B175" s="2" t="s">
        <v>55</v>
      </c>
      <c r="C175" s="1" t="n">
        <v>46232</v>
      </c>
      <c r="D175" s="2" t="s">
        <v>33</v>
      </c>
      <c r="E175" s="0" t="s">
        <v>9</v>
      </c>
      <c r="F175" s="0" t="s">
        <v>34</v>
      </c>
      <c r="G175" s="0" t="n">
        <v>10877.8</v>
      </c>
      <c r="H175" s="0" t="n">
        <v>10890.7</v>
      </c>
      <c r="I175" s="0" t="n">
        <v>12.9</v>
      </c>
      <c r="J175" s="0" t="n">
        <f aca="false"> HLOOKUP(E175, $E$2:$I$3, 2, 0)</f>
        <v>0.8</v>
      </c>
      <c r="K175" s="0" t="n">
        <v>10.32</v>
      </c>
      <c r="L175" s="3" t="n">
        <f aca="false">IF($K175&gt;0,TRUE())</f>
        <v>1</v>
      </c>
      <c r="M175" s="4" t="n">
        <f aca="false">M174+K175</f>
        <v>167.34</v>
      </c>
      <c r="N175" s="4" t="str">
        <f aca="false">VLOOKUP(C175, Sheet2!$A$2:$E$166,  5)</f>
        <v>YES</v>
      </c>
      <c r="O175" s="4" t="n">
        <f aca="false">IF(N175="YES", K175, 0)</f>
        <v>10.32</v>
      </c>
      <c r="P175" s="4" t="n">
        <f aca="false">P174+O175</f>
        <v>404.94</v>
      </c>
      <c r="Q175" s="3" t="b">
        <f aca="false">IF(O175=0, "N/A", IF(O175&gt;0,TRUE()))</f>
        <v>1</v>
      </c>
      <c r="R175" s="3" t="n">
        <f aca="false">AND(TIMEVALUE(B175)&gt;=TIME(8,0,0), TIMEVALUE(B175)&lt;=TIME(16,30,0))</f>
        <v>1</v>
      </c>
      <c r="S175" s="5" t="n">
        <f aca="false">IF(AND(Q175=1, R175=1), O175, 0)</f>
        <v>10.32</v>
      </c>
      <c r="T175" s="4" t="n">
        <f aca="false">T174+S175</f>
        <v>868.61</v>
      </c>
    </row>
    <row r="176" customFormat="false" ht="12.8" hidden="false" customHeight="false" outlineLevel="0" collapsed="false">
      <c r="A176" s="1" t="n">
        <v>46232</v>
      </c>
      <c r="B176" s="2" t="s">
        <v>152</v>
      </c>
      <c r="C176" s="1" t="n">
        <v>46232</v>
      </c>
      <c r="D176" s="2" t="s">
        <v>59</v>
      </c>
      <c r="E176" s="0" t="s">
        <v>10</v>
      </c>
      <c r="F176" s="0" t="s">
        <v>34</v>
      </c>
      <c r="G176" s="0" t="n">
        <v>25342.7</v>
      </c>
      <c r="H176" s="0" t="n">
        <v>25351</v>
      </c>
      <c r="I176" s="0" t="n">
        <v>8.3</v>
      </c>
      <c r="J176" s="0" t="n">
        <f aca="false"> HLOOKUP(E176, $E$2:$I$3, 2, 0)</f>
        <v>0.37</v>
      </c>
      <c r="K176" s="0" t="n">
        <v>3.07</v>
      </c>
      <c r="L176" s="3" t="n">
        <f aca="false">IF($K176&gt;0,TRUE())</f>
        <v>1</v>
      </c>
      <c r="M176" s="4" t="n">
        <f aca="false">M175+K176</f>
        <v>170.41</v>
      </c>
      <c r="N176" s="4" t="str">
        <f aca="false">VLOOKUP(C176, Sheet2!$A$2:$E$166,  5)</f>
        <v>YES</v>
      </c>
      <c r="O176" s="4" t="n">
        <f aca="false">IF(N176="YES", K176, 0)</f>
        <v>3.07</v>
      </c>
      <c r="P176" s="4" t="n">
        <f aca="false">P175+O176</f>
        <v>408.01</v>
      </c>
      <c r="Q176" s="3" t="b">
        <f aca="false">IF(O176=0, "N/A", IF(O176&gt;0,TRUE()))</f>
        <v>1</v>
      </c>
      <c r="R176" s="3" t="n">
        <f aca="false">AND(TIMEVALUE(B176)&gt;=TIME(8,0,0), TIMEVALUE(B176)&lt;=TIME(16,30,0))</f>
        <v>0</v>
      </c>
      <c r="S176" s="5" t="n">
        <f aca="false">IF(AND(Q176=1, R176=1), O176, 0)</f>
        <v>0</v>
      </c>
      <c r="T176" s="4" t="n">
        <f aca="false">T175+S176</f>
        <v>868.61</v>
      </c>
    </row>
    <row r="177" customFormat="false" ht="12.8" hidden="false" customHeight="false" outlineLevel="0" collapsed="false">
      <c r="A177" s="1" t="n">
        <v>46233</v>
      </c>
      <c r="B177" s="2" t="s">
        <v>172</v>
      </c>
      <c r="C177" s="1" t="n">
        <v>46233</v>
      </c>
      <c r="D177" s="2" t="s">
        <v>82</v>
      </c>
      <c r="E177" s="0" t="s">
        <v>9</v>
      </c>
      <c r="F177" s="0" t="s">
        <v>34</v>
      </c>
      <c r="G177" s="0" t="n">
        <v>10807.2</v>
      </c>
      <c r="H177" s="0" t="n">
        <v>10844.4</v>
      </c>
      <c r="I177" s="0" t="n">
        <v>37.2</v>
      </c>
      <c r="J177" s="0" t="n">
        <f aca="false"> HLOOKUP(E177, $E$2:$I$3, 2, 0)</f>
        <v>0.8</v>
      </c>
      <c r="K177" s="0" t="n">
        <v>32.74</v>
      </c>
      <c r="L177" s="3" t="n">
        <f aca="false">IF($K177&gt;0,TRUE())</f>
        <v>1</v>
      </c>
      <c r="M177" s="4" t="n">
        <f aca="false">M176+K177</f>
        <v>203.15</v>
      </c>
      <c r="N177" s="4" t="str">
        <f aca="false">VLOOKUP(C177, Sheet2!$A$2:$E$166,  5)</f>
        <v>YES</v>
      </c>
      <c r="O177" s="4" t="n">
        <f aca="false">IF(N177="YES", K177, 0)</f>
        <v>32.74</v>
      </c>
      <c r="P177" s="4" t="n">
        <f aca="false">P176+O177</f>
        <v>440.75</v>
      </c>
      <c r="Q177" s="3" t="b">
        <f aca="false">IF(O177=0, "N/A", IF(O177&gt;0,TRUE()))</f>
        <v>1</v>
      </c>
      <c r="R177" s="3" t="n">
        <f aca="false">AND(TIMEVALUE(B177)&gt;=TIME(8,0,0), TIMEVALUE(B177)&lt;=TIME(16,30,0))</f>
        <v>0</v>
      </c>
      <c r="S177" s="5" t="n">
        <f aca="false">IF(AND(Q177=1, R177=1), O177, 0)</f>
        <v>0</v>
      </c>
      <c r="T177" s="4" t="n">
        <f aca="false">T176+S177</f>
        <v>868.61</v>
      </c>
    </row>
    <row r="178" customFormat="false" ht="12.8" hidden="false" customHeight="false" outlineLevel="0" collapsed="false">
      <c r="A178" s="1" t="n">
        <v>46233</v>
      </c>
      <c r="B178" s="2" t="s">
        <v>96</v>
      </c>
      <c r="C178" s="1" t="n">
        <v>46233</v>
      </c>
      <c r="D178" s="2" t="s">
        <v>40</v>
      </c>
      <c r="E178" s="0" t="s">
        <v>10</v>
      </c>
      <c r="F178" s="0" t="s">
        <v>34</v>
      </c>
      <c r="G178" s="0" t="n">
        <v>25383.7</v>
      </c>
      <c r="H178" s="0" t="n">
        <v>25362.1</v>
      </c>
      <c r="I178" s="0" t="n">
        <v>-21.6</v>
      </c>
      <c r="J178" s="0" t="n">
        <f aca="false"> HLOOKUP(E178, $E$2:$I$3, 2, 0)</f>
        <v>0.37</v>
      </c>
      <c r="K178" s="0" t="n">
        <v>-8.64</v>
      </c>
      <c r="L178" s="3" t="n">
        <f aca="false">IF($K178&gt;0,TRUE())</f>
        <v>0</v>
      </c>
      <c r="M178" s="4" t="n">
        <f aca="false">M177+K178</f>
        <v>194.51</v>
      </c>
      <c r="N178" s="4" t="str">
        <f aca="false">VLOOKUP(C178, Sheet2!$A$2:$E$166,  5)</f>
        <v>YES</v>
      </c>
      <c r="O178" s="4" t="n">
        <f aca="false">IF(N178="YES", K178, 0)</f>
        <v>-8.64</v>
      </c>
      <c r="P178" s="4" t="n">
        <f aca="false">P177+O178</f>
        <v>432.11</v>
      </c>
      <c r="Q178" s="3" t="b">
        <f aca="false">IF(O178=0, "N/A", IF(O178&gt;0,TRUE()))</f>
        <v>0</v>
      </c>
      <c r="R178" s="3" t="n">
        <f aca="false">AND(TIMEVALUE(B178)&gt;=TIME(8,0,0), TIMEVALUE(B178)&lt;=TIME(16,30,0))</f>
        <v>0</v>
      </c>
      <c r="S178" s="5" t="n">
        <f aca="false">IF(AND(Q178=1, R178=1), O178, 0)</f>
        <v>0</v>
      </c>
      <c r="T178" s="4" t="n">
        <f aca="false">T177+S178</f>
        <v>868.61</v>
      </c>
    </row>
    <row r="179" customFormat="false" ht="12.8" hidden="false" customHeight="false" outlineLevel="0" collapsed="false">
      <c r="A179" s="1" t="n">
        <v>46234</v>
      </c>
      <c r="B179" s="2" t="s">
        <v>116</v>
      </c>
      <c r="C179" s="1" t="n">
        <v>46234</v>
      </c>
      <c r="D179" s="2" t="s">
        <v>101</v>
      </c>
      <c r="E179" s="0" t="s">
        <v>4</v>
      </c>
      <c r="F179" s="0" t="s">
        <v>34</v>
      </c>
      <c r="G179" s="0" t="n">
        <v>8497.4</v>
      </c>
      <c r="H179" s="0" t="n">
        <v>8567.4</v>
      </c>
      <c r="I179" s="0" t="n">
        <v>70</v>
      </c>
      <c r="J179" s="0" t="n">
        <f aca="false"> HLOOKUP(E179, $E$2:$I$3, 2, 0)</f>
        <v>1</v>
      </c>
      <c r="K179" s="0" t="n">
        <v>77</v>
      </c>
      <c r="L179" s="3" t="n">
        <f aca="false">IF($K179&gt;0,TRUE())</f>
        <v>1</v>
      </c>
      <c r="M179" s="4" t="n">
        <f aca="false">M178+K179</f>
        <v>271.51</v>
      </c>
      <c r="N179" s="4" t="str">
        <f aca="false">VLOOKUP(C179, Sheet2!$A$2:$E$166,  5)</f>
        <v>YES</v>
      </c>
      <c r="O179" s="4" t="n">
        <f aca="false">IF(N179="YES", K179, 0)</f>
        <v>77</v>
      </c>
      <c r="P179" s="4" t="n">
        <f aca="false">P178+O179</f>
        <v>509.11</v>
      </c>
      <c r="Q179" s="3" t="b">
        <f aca="false">IF(O179=0, "N/A", IF(O179&gt;0,TRUE()))</f>
        <v>1</v>
      </c>
      <c r="R179" s="3" t="n">
        <f aca="false">AND(TIMEVALUE(B179)&gt;=TIME(8,0,0), TIMEVALUE(B179)&lt;=TIME(16,30,0))</f>
        <v>0</v>
      </c>
      <c r="S179" s="5" t="n">
        <f aca="false">IF(AND(Q179=1, R179=1), O179, 0)</f>
        <v>0</v>
      </c>
      <c r="T179" s="4" t="n">
        <f aca="false">T178+S179</f>
        <v>868.61</v>
      </c>
    </row>
    <row r="180" customFormat="false" ht="12.8" hidden="false" customHeight="false" outlineLevel="0" collapsed="false">
      <c r="A180" s="1" t="n">
        <v>46234</v>
      </c>
      <c r="B180" s="2" t="s">
        <v>33</v>
      </c>
      <c r="C180" s="1" t="n">
        <v>46234</v>
      </c>
      <c r="D180" s="2" t="s">
        <v>89</v>
      </c>
      <c r="E180" s="0" t="s">
        <v>9</v>
      </c>
      <c r="F180" s="0" t="s">
        <v>34</v>
      </c>
      <c r="G180" s="0" t="n">
        <v>10951.6</v>
      </c>
      <c r="H180" s="0" t="n">
        <v>10921.3</v>
      </c>
      <c r="I180" s="0" t="n">
        <v>-30.3</v>
      </c>
      <c r="J180" s="0" t="n">
        <f aca="false"> HLOOKUP(E180, $E$2:$I$3, 2, 0)</f>
        <v>0.8</v>
      </c>
      <c r="K180" s="0" t="n">
        <v>-24.24</v>
      </c>
      <c r="L180" s="3" t="n">
        <f aca="false">IF($K180&gt;0,TRUE())</f>
        <v>0</v>
      </c>
      <c r="M180" s="4" t="n">
        <f aca="false">M179+K180</f>
        <v>247.27</v>
      </c>
      <c r="N180" s="4" t="str">
        <f aca="false">VLOOKUP(C180, Sheet2!$A$2:$E$166,  5)</f>
        <v>YES</v>
      </c>
      <c r="O180" s="4" t="n">
        <f aca="false">IF(N180="YES", K180, 0)</f>
        <v>-24.24</v>
      </c>
      <c r="P180" s="4" t="n">
        <f aca="false">P179+O180</f>
        <v>484.87</v>
      </c>
      <c r="Q180" s="3" t="b">
        <f aca="false">IF(O180=0, "N/A", IF(O180&gt;0,TRUE()))</f>
        <v>0</v>
      </c>
      <c r="R180" s="3" t="n">
        <f aca="false">AND(TIMEVALUE(B180)&gt;=TIME(8,0,0), TIMEVALUE(B180)&lt;=TIME(16,30,0))</f>
        <v>1</v>
      </c>
      <c r="S180" s="5" t="n">
        <f aca="false">IF(AND(Q180=1, R180=1), O180, 0)</f>
        <v>0</v>
      </c>
      <c r="T180" s="4" t="n">
        <f aca="false">T179+S180</f>
        <v>868.61</v>
      </c>
    </row>
    <row r="181" customFormat="false" ht="12.8" hidden="false" customHeight="false" outlineLevel="0" collapsed="false">
      <c r="A181" s="1" t="n">
        <v>46234</v>
      </c>
      <c r="B181" s="2" t="s">
        <v>155</v>
      </c>
      <c r="C181" s="1" t="n">
        <v>46234</v>
      </c>
      <c r="D181" s="2" t="s">
        <v>178</v>
      </c>
      <c r="E181" s="0" t="s">
        <v>10</v>
      </c>
      <c r="F181" s="0" t="s">
        <v>34</v>
      </c>
      <c r="G181" s="0" t="n">
        <v>25701.7</v>
      </c>
      <c r="H181" s="0" t="n">
        <v>25669.8</v>
      </c>
      <c r="I181" s="0" t="n">
        <v>-31.9</v>
      </c>
      <c r="J181" s="0" t="n">
        <f aca="false"> HLOOKUP(E181, $E$2:$I$3, 2, 0)</f>
        <v>0.37</v>
      </c>
      <c r="K181" s="0" t="n">
        <v>-11.8</v>
      </c>
      <c r="L181" s="3" t="n">
        <f aca="false">IF($K181&gt;0,TRUE())</f>
        <v>0</v>
      </c>
      <c r="M181" s="4" t="n">
        <f aca="false">M180+K181</f>
        <v>235.47</v>
      </c>
      <c r="N181" s="4" t="str">
        <f aca="false">VLOOKUP(C181, Sheet2!$A$2:$E$166,  5)</f>
        <v>YES</v>
      </c>
      <c r="O181" s="4" t="n">
        <f aca="false">IF(N181="YES", K181, 0)</f>
        <v>-11.8</v>
      </c>
      <c r="P181" s="4" t="n">
        <f aca="false">P180+O181</f>
        <v>473.07</v>
      </c>
      <c r="Q181" s="3" t="b">
        <f aca="false">IF(O181=0, "N/A", IF(O181&gt;0,TRUE()))</f>
        <v>0</v>
      </c>
      <c r="R181" s="3" t="n">
        <f aca="false">AND(TIMEVALUE(B181)&gt;=TIME(8,0,0), TIMEVALUE(B181)&lt;=TIME(16,30,0))</f>
        <v>1</v>
      </c>
      <c r="S181" s="5" t="n">
        <f aca="false">IF(AND(Q181=1, R181=1), O181, 0)</f>
        <v>0</v>
      </c>
      <c r="T181" s="4" t="n">
        <f aca="false">T180+S181</f>
        <v>868.61</v>
      </c>
    </row>
    <row r="182" customFormat="false" ht="12.8" hidden="false" customHeight="false" outlineLevel="0" collapsed="false">
      <c r="A182" s="1" t="n">
        <v>46234</v>
      </c>
      <c r="B182" s="2" t="s">
        <v>142</v>
      </c>
      <c r="C182" s="1" t="n">
        <v>46234</v>
      </c>
      <c r="D182" s="2" t="s">
        <v>141</v>
      </c>
      <c r="E182" s="0" t="s">
        <v>9</v>
      </c>
      <c r="F182" s="0" t="s">
        <v>34</v>
      </c>
      <c r="G182" s="0" t="n">
        <v>10877.7</v>
      </c>
      <c r="H182" s="0" t="n">
        <v>10878.4</v>
      </c>
      <c r="I182" s="0" t="n">
        <v>0.7</v>
      </c>
      <c r="J182" s="0" t="n">
        <f aca="false"> HLOOKUP(E182, $E$2:$I$3, 2, 0)</f>
        <v>0.8</v>
      </c>
      <c r="K182" s="0" t="n">
        <v>0.56</v>
      </c>
      <c r="L182" s="3" t="n">
        <f aca="false">IF($K182&gt;0,TRUE())</f>
        <v>1</v>
      </c>
      <c r="M182" s="4" t="n">
        <f aca="false">M181+K182</f>
        <v>236.03</v>
      </c>
      <c r="N182" s="4" t="str">
        <f aca="false">VLOOKUP(C182, Sheet2!$A$2:$E$166,  5)</f>
        <v>YES</v>
      </c>
      <c r="O182" s="4" t="n">
        <f aca="false">IF(N182="YES", K182, 0)</f>
        <v>0.56</v>
      </c>
      <c r="P182" s="4" t="n">
        <f aca="false">P181+O182</f>
        <v>473.63</v>
      </c>
      <c r="Q182" s="3" t="b">
        <f aca="false">IF(O182=0, "N/A", IF(O182&gt;0,TRUE()))</f>
        <v>1</v>
      </c>
      <c r="R182" s="3" t="n">
        <f aca="false">AND(TIMEVALUE(B182)&gt;=TIME(8,0,0), TIMEVALUE(B182)&lt;=TIME(16,30,0))</f>
        <v>1</v>
      </c>
      <c r="S182" s="5" t="n">
        <f aca="false">IF(AND(Q182=1, R182=1), O182, 0)</f>
        <v>0.56</v>
      </c>
      <c r="T182" s="4" t="n">
        <f aca="false">T181+S182</f>
        <v>869.17</v>
      </c>
    </row>
    <row r="183" customFormat="false" ht="12.8" hidden="false" customHeight="false" outlineLevel="0" collapsed="false">
      <c r="A183" s="1" t="n">
        <v>46237</v>
      </c>
      <c r="B183" s="2" t="s">
        <v>99</v>
      </c>
      <c r="C183" s="1" t="n">
        <v>46237</v>
      </c>
      <c r="D183" s="2" t="s">
        <v>115</v>
      </c>
      <c r="E183" s="0" t="s">
        <v>9</v>
      </c>
      <c r="F183" s="0" t="s">
        <v>34</v>
      </c>
      <c r="G183" s="0" t="n">
        <v>10864.9</v>
      </c>
      <c r="H183" s="0" t="n">
        <v>10862</v>
      </c>
      <c r="I183" s="0" t="n">
        <v>-2.9</v>
      </c>
      <c r="J183" s="0" t="n">
        <f aca="false"> HLOOKUP(E183, $E$2:$I$3, 2, 0)</f>
        <v>0.8</v>
      </c>
      <c r="K183" s="0" t="n">
        <v>-2.32</v>
      </c>
      <c r="L183" s="3" t="n">
        <f aca="false">IF($K183&gt;0,TRUE())</f>
        <v>0</v>
      </c>
      <c r="M183" s="4" t="n">
        <f aca="false">M182+K183</f>
        <v>233.71</v>
      </c>
      <c r="N183" s="4" t="str">
        <f aca="false">VLOOKUP(C183, Sheet2!$A$2:$E$166,  5)</f>
        <v>YES</v>
      </c>
      <c r="O183" s="4" t="n">
        <f aca="false">IF(N183="YES", K183, 0)</f>
        <v>-2.32</v>
      </c>
      <c r="P183" s="4" t="n">
        <f aca="false">P182+O183</f>
        <v>471.31</v>
      </c>
      <c r="Q183" s="3" t="b">
        <f aca="false">IF(O183=0, "N/A", IF(O183&gt;0,TRUE()))</f>
        <v>0</v>
      </c>
      <c r="R183" s="3" t="n">
        <f aca="false">AND(TIMEVALUE(B183)&gt;=TIME(8,0,0), TIMEVALUE(B183)&lt;=TIME(16,30,0))</f>
        <v>1</v>
      </c>
      <c r="S183" s="5" t="n">
        <f aca="false">IF(AND(Q183=1, R183=1), O183, 0)</f>
        <v>0</v>
      </c>
      <c r="T183" s="4" t="n">
        <f aca="false">T182+S183</f>
        <v>869.17</v>
      </c>
    </row>
    <row r="184" customFormat="false" ht="12.8" hidden="false" customHeight="false" outlineLevel="0" collapsed="false">
      <c r="A184" s="1" t="n">
        <v>46238</v>
      </c>
      <c r="B184" s="2" t="s">
        <v>91</v>
      </c>
      <c r="C184" s="1" t="n">
        <v>46238</v>
      </c>
      <c r="D184" s="2" t="s">
        <v>89</v>
      </c>
      <c r="E184" s="0" t="s">
        <v>4</v>
      </c>
      <c r="F184" s="0" t="s">
        <v>34</v>
      </c>
      <c r="G184" s="0" t="n">
        <v>8613.6</v>
      </c>
      <c r="H184" s="0" t="n">
        <v>8622.5</v>
      </c>
      <c r="I184" s="0" t="n">
        <v>8.9</v>
      </c>
      <c r="J184" s="0" t="n">
        <f aca="false"> HLOOKUP(E184, $E$2:$I$3, 2, 0)</f>
        <v>1</v>
      </c>
      <c r="K184" s="0" t="n">
        <v>8.9</v>
      </c>
      <c r="L184" s="3" t="n">
        <f aca="false">IF($K184&gt;0,TRUE())</f>
        <v>1</v>
      </c>
      <c r="M184" s="4" t="n">
        <f aca="false">M183+K184</f>
        <v>242.61</v>
      </c>
      <c r="N184" s="4" t="str">
        <f aca="false">VLOOKUP(C184, Sheet2!$A$2:$E$166,  5)</f>
        <v>YES</v>
      </c>
      <c r="O184" s="4" t="n">
        <f aca="false">IF(N184="YES", K184, 0)</f>
        <v>8.9</v>
      </c>
      <c r="P184" s="4" t="n">
        <f aca="false">P183+O184</f>
        <v>480.21</v>
      </c>
      <c r="Q184" s="3" t="b">
        <f aca="false">IF(O184=0, "N/A", IF(O184&gt;0,TRUE()))</f>
        <v>1</v>
      </c>
      <c r="R184" s="3" t="n">
        <f aca="false">AND(TIMEVALUE(B184)&gt;=TIME(8,0,0), TIMEVALUE(B184)&lt;=TIME(16,30,0))</f>
        <v>1</v>
      </c>
      <c r="S184" s="5" t="n">
        <f aca="false">IF(AND(Q184=1, R184=1), O184, 0)</f>
        <v>8.9</v>
      </c>
      <c r="T184" s="4" t="n">
        <f aca="false">T183+S184</f>
        <v>878.07</v>
      </c>
    </row>
    <row r="185" customFormat="false" ht="12.8" hidden="false" customHeight="false" outlineLevel="0" collapsed="false">
      <c r="A185" s="1" t="n">
        <v>46239</v>
      </c>
      <c r="B185" s="2" t="s">
        <v>179</v>
      </c>
      <c r="C185" s="1" t="n">
        <v>46239</v>
      </c>
      <c r="D185" s="2" t="s">
        <v>110</v>
      </c>
      <c r="E185" s="0" t="s">
        <v>10</v>
      </c>
      <c r="F185" s="0" t="s">
        <v>34</v>
      </c>
      <c r="G185" s="0" t="n">
        <v>26376</v>
      </c>
      <c r="H185" s="0" t="n">
        <v>26394</v>
      </c>
      <c r="I185" s="0" t="n">
        <v>18</v>
      </c>
      <c r="J185" s="0" t="n">
        <f aca="false"> HLOOKUP(E185, $E$2:$I$3, 2, 0)</f>
        <v>0.37</v>
      </c>
      <c r="K185" s="0" t="n">
        <v>7.2</v>
      </c>
      <c r="L185" s="3" t="n">
        <f aca="false">IF($K185&gt;0,TRUE())</f>
        <v>1</v>
      </c>
      <c r="M185" s="4" t="n">
        <f aca="false">M184+K185</f>
        <v>249.81</v>
      </c>
      <c r="N185" s="4" t="str">
        <f aca="false">VLOOKUP(C185, Sheet2!$A$2:$E$166,  5)</f>
        <v>YES</v>
      </c>
      <c r="O185" s="4" t="n">
        <f aca="false">IF(N185="YES", K185, 0)</f>
        <v>7.2</v>
      </c>
      <c r="P185" s="4" t="n">
        <f aca="false">P184+O185</f>
        <v>487.41</v>
      </c>
      <c r="Q185" s="3" t="b">
        <f aca="false">IF(O185=0, "N/A", IF(O185&gt;0,TRUE()))</f>
        <v>1</v>
      </c>
      <c r="R185" s="3" t="n">
        <f aca="false">AND(TIMEVALUE(B185)&gt;=TIME(8,0,0), TIMEVALUE(B185)&lt;=TIME(16,30,0))</f>
        <v>0</v>
      </c>
      <c r="S185" s="5" t="n">
        <f aca="false">IF(AND(Q185=1, R185=1), O185, 0)</f>
        <v>0</v>
      </c>
      <c r="T185" s="4" t="n">
        <f aca="false">T184+S185</f>
        <v>878.07</v>
      </c>
    </row>
    <row r="186" customFormat="false" ht="12.8" hidden="false" customHeight="false" outlineLevel="0" collapsed="false">
      <c r="A186" s="1" t="n">
        <v>46239</v>
      </c>
      <c r="B186" s="2" t="s">
        <v>57</v>
      </c>
      <c r="C186" s="1" t="n">
        <v>46239</v>
      </c>
      <c r="D186" s="2" t="s">
        <v>67</v>
      </c>
      <c r="E186" s="0" t="s">
        <v>9</v>
      </c>
      <c r="F186" s="0" t="s">
        <v>34</v>
      </c>
      <c r="G186" s="0" t="n">
        <v>10921.5</v>
      </c>
      <c r="H186" s="0" t="n">
        <v>10891</v>
      </c>
      <c r="I186" s="0" t="n">
        <v>-30.5</v>
      </c>
      <c r="J186" s="0" t="n">
        <f aca="false"> HLOOKUP(E186, $E$2:$I$3, 2, 0)</f>
        <v>0.8</v>
      </c>
      <c r="K186" s="0" t="n">
        <v>-26.84</v>
      </c>
      <c r="L186" s="3" t="n">
        <f aca="false">IF($K186&gt;0,TRUE())</f>
        <v>0</v>
      </c>
      <c r="M186" s="4" t="n">
        <f aca="false">M185+K186</f>
        <v>222.97</v>
      </c>
      <c r="N186" s="4" t="str">
        <f aca="false">VLOOKUP(C186, Sheet2!$A$2:$E$166,  5)</f>
        <v>YES</v>
      </c>
      <c r="O186" s="4" t="n">
        <f aca="false">IF(N186="YES", K186, 0)</f>
        <v>-26.84</v>
      </c>
      <c r="P186" s="4" t="n">
        <f aca="false">P185+O186</f>
        <v>460.57</v>
      </c>
      <c r="Q186" s="3" t="b">
        <f aca="false">IF(O186=0, "N/A", IF(O186&gt;0,TRUE()))</f>
        <v>0</v>
      </c>
      <c r="R186" s="3" t="n">
        <f aca="false">AND(TIMEVALUE(B186)&gt;=TIME(8,0,0), TIMEVALUE(B186)&lt;=TIME(16,30,0))</f>
        <v>0</v>
      </c>
      <c r="S186" s="5" t="n">
        <f aca="false">IF(AND(Q186=1, R186=1), O186, 0)</f>
        <v>0</v>
      </c>
      <c r="T186" s="4" t="n">
        <f aca="false">T185+S186</f>
        <v>878.07</v>
      </c>
    </row>
    <row r="187" customFormat="false" ht="12.8" hidden="false" customHeight="false" outlineLevel="0" collapsed="false">
      <c r="A187" s="1" t="n">
        <v>46239</v>
      </c>
      <c r="B187" s="2" t="s">
        <v>99</v>
      </c>
      <c r="C187" s="1" t="n">
        <v>46239</v>
      </c>
      <c r="D187" s="2" t="s">
        <v>77</v>
      </c>
      <c r="E187" s="0" t="s">
        <v>4</v>
      </c>
      <c r="F187" s="0" t="s">
        <v>34</v>
      </c>
      <c r="G187" s="0" t="n">
        <v>8672.5</v>
      </c>
      <c r="H187" s="0" t="n">
        <v>8671.4</v>
      </c>
      <c r="I187" s="0" t="n">
        <v>-1.1</v>
      </c>
      <c r="J187" s="0" t="n">
        <f aca="false"> HLOOKUP(E187, $E$2:$I$3, 2, 0)</f>
        <v>1</v>
      </c>
      <c r="K187" s="0" t="n">
        <v>-1.1</v>
      </c>
      <c r="L187" s="3" t="n">
        <f aca="false">IF($K187&gt;0,TRUE())</f>
        <v>0</v>
      </c>
      <c r="M187" s="4" t="n">
        <f aca="false">M186+K187</f>
        <v>221.87</v>
      </c>
      <c r="N187" s="4" t="str">
        <f aca="false">VLOOKUP(C187, Sheet2!$A$2:$E$166,  5)</f>
        <v>YES</v>
      </c>
      <c r="O187" s="4" t="n">
        <f aca="false">IF(N187="YES", K187, 0)</f>
        <v>-1.1</v>
      </c>
      <c r="P187" s="4" t="n">
        <f aca="false">P186+O187</f>
        <v>459.47</v>
      </c>
      <c r="Q187" s="3" t="b">
        <f aca="false">IF(O187=0, "N/A", IF(O187&gt;0,TRUE()))</f>
        <v>0</v>
      </c>
      <c r="R187" s="3" t="n">
        <f aca="false">AND(TIMEVALUE(B187)&gt;=TIME(8,0,0), TIMEVALUE(B187)&lt;=TIME(16,30,0))</f>
        <v>1</v>
      </c>
      <c r="S187" s="5" t="n">
        <f aca="false">IF(AND(Q187=1, R187=1), O187, 0)</f>
        <v>0</v>
      </c>
      <c r="T187" s="4" t="n">
        <f aca="false">T186+S187</f>
        <v>878.07</v>
      </c>
    </row>
    <row r="188" customFormat="false" ht="12.8" hidden="false" customHeight="false" outlineLevel="0" collapsed="false">
      <c r="A188" s="1" t="n">
        <v>46239</v>
      </c>
      <c r="B188" s="2" t="s">
        <v>107</v>
      </c>
      <c r="C188" s="1" t="n">
        <v>46239</v>
      </c>
      <c r="D188" s="2" t="s">
        <v>141</v>
      </c>
      <c r="E188" s="0" t="s">
        <v>10</v>
      </c>
      <c r="F188" s="0" t="s">
        <v>34</v>
      </c>
      <c r="G188" s="0" t="n">
        <v>26153.1</v>
      </c>
      <c r="H188" s="0" t="n">
        <v>26173</v>
      </c>
      <c r="I188" s="0" t="n">
        <v>19.9</v>
      </c>
      <c r="J188" s="0" t="n">
        <f aca="false"> HLOOKUP(E188, $E$2:$I$3, 2, 0)</f>
        <v>0.37</v>
      </c>
      <c r="K188" s="0" t="n">
        <v>7.36</v>
      </c>
      <c r="L188" s="3" t="n">
        <f aca="false">IF($K188&gt;0,TRUE())</f>
        <v>1</v>
      </c>
      <c r="M188" s="4" t="n">
        <f aca="false">M187+K188</f>
        <v>229.23</v>
      </c>
      <c r="N188" s="4" t="str">
        <f aca="false">VLOOKUP(C188, Sheet2!$A$2:$E$166,  5)</f>
        <v>YES</v>
      </c>
      <c r="O188" s="4" t="n">
        <f aca="false">IF(N188="YES", K188, 0)</f>
        <v>7.36</v>
      </c>
      <c r="P188" s="4" t="n">
        <f aca="false">P187+O188</f>
        <v>466.83</v>
      </c>
      <c r="Q188" s="3" t="b">
        <f aca="false">IF(O188=0, "N/A", IF(O188&gt;0,TRUE()))</f>
        <v>1</v>
      </c>
      <c r="R188" s="3" t="n">
        <f aca="false">AND(TIMEVALUE(B188)&gt;=TIME(8,0,0), TIMEVALUE(B188)&lt;=TIME(16,30,0))</f>
        <v>1</v>
      </c>
      <c r="S188" s="5" t="n">
        <f aca="false">IF(AND(Q188=1, R188=1), O188, 0)</f>
        <v>7.36</v>
      </c>
      <c r="T188" s="4" t="n">
        <f aca="false">T187+S188</f>
        <v>885.43</v>
      </c>
    </row>
    <row r="189" customFormat="false" ht="12.8" hidden="false" customHeight="false" outlineLevel="0" collapsed="false">
      <c r="A189" s="1" t="n">
        <v>46240</v>
      </c>
      <c r="B189" s="2" t="s">
        <v>180</v>
      </c>
      <c r="C189" s="1" t="n">
        <v>46240</v>
      </c>
      <c r="D189" s="2" t="s">
        <v>141</v>
      </c>
      <c r="E189" s="0" t="s">
        <v>10</v>
      </c>
      <c r="F189" s="0" t="s">
        <v>34</v>
      </c>
      <c r="G189" s="0" t="n">
        <v>26157.7</v>
      </c>
      <c r="H189" s="0" t="n">
        <v>26159.4</v>
      </c>
      <c r="I189" s="0" t="n">
        <v>1.7</v>
      </c>
      <c r="J189" s="0" t="n">
        <f aca="false"> HLOOKUP(E189, $E$2:$I$3, 2, 0)</f>
        <v>0.37</v>
      </c>
      <c r="K189" s="0" t="n">
        <v>0.63</v>
      </c>
      <c r="L189" s="3" t="n">
        <f aca="false">IF($K189&gt;0,TRUE())</f>
        <v>1</v>
      </c>
      <c r="M189" s="4" t="n">
        <f aca="false">M188+K189</f>
        <v>229.86</v>
      </c>
      <c r="N189" s="4" t="str">
        <f aca="false">VLOOKUP(C189, Sheet2!$A$2:$E$166,  5)</f>
        <v>YES</v>
      </c>
      <c r="O189" s="4" t="n">
        <f aca="false">IF(N189="YES", K189, 0)</f>
        <v>0.63</v>
      </c>
      <c r="P189" s="4" t="n">
        <f aca="false">P188+O189</f>
        <v>467.46</v>
      </c>
      <c r="Q189" s="3" t="b">
        <f aca="false">IF(O189=0, "N/A", IF(O189&gt;0,TRUE()))</f>
        <v>1</v>
      </c>
      <c r="R189" s="3" t="n">
        <f aca="false">AND(TIMEVALUE(B189)&gt;=TIME(8,0,0), TIMEVALUE(B189)&lt;=TIME(16,30,0))</f>
        <v>1</v>
      </c>
      <c r="S189" s="5" t="n">
        <f aca="false">IF(AND(Q189=1, R189=1), O189, 0)</f>
        <v>0.63</v>
      </c>
      <c r="T189" s="4" t="n">
        <f aca="false">T188+S189</f>
        <v>886.06</v>
      </c>
    </row>
    <row r="190" customFormat="false" ht="12.8" hidden="false" customHeight="false" outlineLevel="0" collapsed="false">
      <c r="A190" s="1" t="n">
        <v>46240</v>
      </c>
      <c r="B190" s="2" t="s">
        <v>181</v>
      </c>
      <c r="C190" s="1" t="n">
        <v>46240</v>
      </c>
      <c r="D190" s="2" t="s">
        <v>182</v>
      </c>
      <c r="E190" s="0" t="s">
        <v>9</v>
      </c>
      <c r="F190" s="0" t="s">
        <v>34</v>
      </c>
      <c r="G190" s="0" t="n">
        <v>10856.1</v>
      </c>
      <c r="H190" s="0" t="n">
        <v>10859</v>
      </c>
      <c r="I190" s="0" t="n">
        <v>2.9</v>
      </c>
      <c r="J190" s="0" t="n">
        <f aca="false"> HLOOKUP(E190, $E$2:$I$3, 2, 0)</f>
        <v>0.8</v>
      </c>
      <c r="K190" s="0" t="n">
        <v>2.32</v>
      </c>
      <c r="L190" s="3" t="n">
        <f aca="false">IF($K190&gt;0,TRUE())</f>
        <v>1</v>
      </c>
      <c r="M190" s="4" t="n">
        <f aca="false">M189+K190</f>
        <v>232.18</v>
      </c>
      <c r="N190" s="4" t="str">
        <f aca="false">VLOOKUP(C190, Sheet2!$A$2:$E$166,  5)</f>
        <v>YES</v>
      </c>
      <c r="O190" s="4" t="n">
        <f aca="false">IF(N190="YES", K190, 0)</f>
        <v>2.32</v>
      </c>
      <c r="P190" s="4" t="n">
        <f aca="false">P189+O190</f>
        <v>469.78</v>
      </c>
      <c r="Q190" s="3" t="b">
        <f aca="false">IF(O190=0, "N/A", IF(O190&gt;0,TRUE()))</f>
        <v>1</v>
      </c>
      <c r="R190" s="3" t="n">
        <f aca="false">AND(TIMEVALUE(B190)&gt;=TIME(8,0,0), TIMEVALUE(B190)&lt;=TIME(16,30,0))</f>
        <v>0</v>
      </c>
      <c r="S190" s="5" t="n">
        <f aca="false">IF(AND(Q190=1, R190=1), O190, 0)</f>
        <v>0</v>
      </c>
      <c r="T190" s="4" t="n">
        <f aca="false">T189+S190</f>
        <v>886.06</v>
      </c>
    </row>
    <row r="191" customFormat="false" ht="12.8" hidden="false" customHeight="false" outlineLevel="0" collapsed="false">
      <c r="A191" s="1" t="n">
        <v>46240</v>
      </c>
      <c r="B191" s="2" t="s">
        <v>183</v>
      </c>
      <c r="C191" s="1" t="n">
        <v>46240</v>
      </c>
      <c r="D191" s="2" t="s">
        <v>59</v>
      </c>
      <c r="E191" s="0" t="s">
        <v>10</v>
      </c>
      <c r="F191" s="0" t="s">
        <v>34</v>
      </c>
      <c r="G191" s="0" t="n">
        <v>26179</v>
      </c>
      <c r="H191" s="0" t="n">
        <v>26138.9</v>
      </c>
      <c r="I191" s="0" t="n">
        <v>-40.1</v>
      </c>
      <c r="J191" s="0" t="n">
        <f aca="false"> HLOOKUP(E191, $E$2:$I$3, 2, 0)</f>
        <v>0.37</v>
      </c>
      <c r="K191" s="0" t="n">
        <v>-14.84</v>
      </c>
      <c r="L191" s="3" t="n">
        <f aca="false">IF($K191&gt;0,TRUE())</f>
        <v>0</v>
      </c>
      <c r="M191" s="4" t="n">
        <f aca="false">M190+K191</f>
        <v>217.34</v>
      </c>
      <c r="N191" s="4" t="str">
        <f aca="false">VLOOKUP(C191, Sheet2!$A$2:$E$166,  5)</f>
        <v>YES</v>
      </c>
      <c r="O191" s="4" t="n">
        <f aca="false">IF(N191="YES", K191, 0)</f>
        <v>-14.84</v>
      </c>
      <c r="P191" s="4" t="n">
        <f aca="false">P190+O191</f>
        <v>454.94</v>
      </c>
      <c r="Q191" s="3" t="b">
        <f aca="false">IF(O191=0, "N/A", IF(O191&gt;0,TRUE()))</f>
        <v>0</v>
      </c>
      <c r="R191" s="3" t="n">
        <f aca="false">AND(TIMEVALUE(B191)&gt;=TIME(8,0,0), TIMEVALUE(B191)&lt;=TIME(16,30,0))</f>
        <v>0</v>
      </c>
      <c r="S191" s="5" t="n">
        <f aca="false">IF(AND(Q191=1, R191=1), O191, 0)</f>
        <v>0</v>
      </c>
      <c r="T191" s="4" t="n">
        <f aca="false">T190+S191</f>
        <v>886.06</v>
      </c>
    </row>
    <row r="192" customFormat="false" ht="12.8" hidden="false" customHeight="false" outlineLevel="0" collapsed="false">
      <c r="A192" s="1" t="n">
        <v>46244</v>
      </c>
      <c r="B192" s="2" t="s">
        <v>96</v>
      </c>
      <c r="C192" s="1" t="n">
        <v>46244</v>
      </c>
      <c r="D192" s="2" t="s">
        <v>78</v>
      </c>
      <c r="E192" s="0" t="s">
        <v>10</v>
      </c>
      <c r="F192" s="0" t="s">
        <v>34</v>
      </c>
      <c r="G192" s="0" t="n">
        <v>26350.5</v>
      </c>
      <c r="H192" s="0" t="n">
        <v>26358.2</v>
      </c>
      <c r="I192" s="0" t="n">
        <v>7.7</v>
      </c>
      <c r="J192" s="0" t="n">
        <f aca="false"> HLOOKUP(E192, $E$2:$I$3, 2, 0)</f>
        <v>0.37</v>
      </c>
      <c r="K192" s="0" t="n">
        <v>3.08</v>
      </c>
      <c r="L192" s="3" t="n">
        <f aca="false">IF($K192&gt;0,TRUE())</f>
        <v>1</v>
      </c>
      <c r="M192" s="4" t="n">
        <f aca="false">M191+K192</f>
        <v>220.42</v>
      </c>
      <c r="N192" s="4" t="str">
        <f aca="false">VLOOKUP(C192, Sheet2!$A$2:$E$166,  5)</f>
        <v>YES</v>
      </c>
      <c r="O192" s="4" t="n">
        <f aca="false">IF(N192="YES", K192, 0)</f>
        <v>3.08</v>
      </c>
      <c r="P192" s="4" t="n">
        <f aca="false">P191+O192</f>
        <v>458.02</v>
      </c>
      <c r="Q192" s="3" t="b">
        <f aca="false">IF(O192=0, "N/A", IF(O192&gt;0,TRUE()))</f>
        <v>1</v>
      </c>
      <c r="R192" s="3" t="n">
        <f aca="false">AND(TIMEVALUE(B192)&gt;=TIME(8,0,0), TIMEVALUE(B192)&lt;=TIME(16,30,0))</f>
        <v>0</v>
      </c>
      <c r="S192" s="5" t="n">
        <f aca="false">IF(AND(Q192=1, R192=1), O192, 0)</f>
        <v>0</v>
      </c>
      <c r="T192" s="4" t="n">
        <f aca="false">T191+S192</f>
        <v>886.06</v>
      </c>
    </row>
    <row r="193" customFormat="false" ht="12.8" hidden="false" customHeight="false" outlineLevel="0" collapsed="false">
      <c r="A193" s="1" t="n">
        <v>46244</v>
      </c>
      <c r="B193" s="2" t="s">
        <v>94</v>
      </c>
      <c r="C193" s="1" t="n">
        <v>46244</v>
      </c>
      <c r="D193" s="2" t="s">
        <v>88</v>
      </c>
      <c r="E193" s="0" t="s">
        <v>9</v>
      </c>
      <c r="F193" s="0" t="s">
        <v>34</v>
      </c>
      <c r="G193" s="0" t="n">
        <v>10870.4</v>
      </c>
      <c r="H193" s="0" t="n">
        <v>10875</v>
      </c>
      <c r="I193" s="0" t="n">
        <v>4.6</v>
      </c>
      <c r="J193" s="0" t="n">
        <f aca="false"> HLOOKUP(E193, $E$2:$I$3, 2, 0)</f>
        <v>0.8</v>
      </c>
      <c r="K193" s="0" t="n">
        <v>3.68</v>
      </c>
      <c r="L193" s="3" t="n">
        <f aca="false">IF($K193&gt;0,TRUE())</f>
        <v>1</v>
      </c>
      <c r="M193" s="4" t="n">
        <f aca="false">M192+K193</f>
        <v>224.1</v>
      </c>
      <c r="N193" s="4" t="str">
        <f aca="false">VLOOKUP(C193, Sheet2!$A$2:$E$166,  5)</f>
        <v>YES</v>
      </c>
      <c r="O193" s="4" t="n">
        <f aca="false">IF(N193="YES", K193, 0)</f>
        <v>3.68</v>
      </c>
      <c r="P193" s="4" t="n">
        <f aca="false">P192+O193</f>
        <v>461.7</v>
      </c>
      <c r="Q193" s="3" t="b">
        <f aca="false">IF(O193=0, "N/A", IF(O193&gt;0,TRUE()))</f>
        <v>1</v>
      </c>
      <c r="R193" s="3" t="n">
        <f aca="false">AND(TIMEVALUE(B193)&gt;=TIME(8,0,0), TIMEVALUE(B193)&lt;=TIME(16,30,0))</f>
        <v>1</v>
      </c>
      <c r="S193" s="5" t="n">
        <f aca="false">IF(AND(Q193=1, R193=1), O193, 0)</f>
        <v>3.68</v>
      </c>
      <c r="T193" s="4" t="n">
        <f aca="false">T192+S193</f>
        <v>889.74</v>
      </c>
    </row>
    <row r="194" customFormat="false" ht="12.8" hidden="false" customHeight="false" outlineLevel="0" collapsed="false">
      <c r="A194" s="1" t="n">
        <v>46244</v>
      </c>
      <c r="B194" s="2" t="s">
        <v>133</v>
      </c>
      <c r="C194" s="1" t="n">
        <v>46244</v>
      </c>
      <c r="D194" s="2" t="s">
        <v>142</v>
      </c>
      <c r="E194" s="0" t="s">
        <v>9</v>
      </c>
      <c r="F194" s="0" t="s">
        <v>34</v>
      </c>
      <c r="G194" s="0" t="n">
        <v>10848</v>
      </c>
      <c r="H194" s="0" t="n">
        <v>10860.1</v>
      </c>
      <c r="I194" s="0" t="n">
        <v>12.1</v>
      </c>
      <c r="J194" s="0" t="n">
        <f aca="false"> HLOOKUP(E194, $E$2:$I$3, 2, 0)</f>
        <v>0.8</v>
      </c>
      <c r="K194" s="0" t="n">
        <v>9.68</v>
      </c>
      <c r="L194" s="3" t="n">
        <f aca="false">IF($K194&gt;0,TRUE())</f>
        <v>1</v>
      </c>
      <c r="M194" s="4" t="n">
        <f aca="false">M193+K194</f>
        <v>233.78</v>
      </c>
      <c r="N194" s="4" t="str">
        <f aca="false">VLOOKUP(C194, Sheet2!$A$2:$E$166,  5)</f>
        <v>YES</v>
      </c>
      <c r="O194" s="4" t="n">
        <f aca="false">IF(N194="YES", K194, 0)</f>
        <v>9.68</v>
      </c>
      <c r="P194" s="4" t="n">
        <f aca="false">P193+O194</f>
        <v>471.38</v>
      </c>
      <c r="Q194" s="3" t="b">
        <f aca="false">IF(O194=0, "N/A", IF(O194&gt;0,TRUE()))</f>
        <v>1</v>
      </c>
      <c r="R194" s="3" t="n">
        <f aca="false">AND(TIMEVALUE(B194)&gt;=TIME(8,0,0), TIMEVALUE(B194)&lt;=TIME(16,30,0))</f>
        <v>1</v>
      </c>
      <c r="S194" s="5" t="n">
        <f aca="false">IF(AND(Q194=1, R194=1), O194, 0)</f>
        <v>9.68</v>
      </c>
      <c r="T194" s="4" t="n">
        <f aca="false">T193+S194</f>
        <v>899.42</v>
      </c>
    </row>
    <row r="195" customFormat="false" ht="12.8" hidden="false" customHeight="false" outlineLevel="0" collapsed="false">
      <c r="A195" s="1" t="n">
        <v>46244</v>
      </c>
      <c r="B195" s="2" t="s">
        <v>184</v>
      </c>
      <c r="C195" s="1" t="n">
        <v>46244</v>
      </c>
      <c r="D195" s="2" t="s">
        <v>140</v>
      </c>
      <c r="E195" s="0" t="s">
        <v>9</v>
      </c>
      <c r="F195" s="0" t="s">
        <v>34</v>
      </c>
      <c r="G195" s="0" t="n">
        <v>10851.6</v>
      </c>
      <c r="H195" s="0" t="n">
        <v>10854.7</v>
      </c>
      <c r="I195" s="0" t="n">
        <v>3.1</v>
      </c>
      <c r="J195" s="0" t="n">
        <f aca="false"> HLOOKUP(E195, $E$2:$I$3, 2, 0)</f>
        <v>0.8</v>
      </c>
      <c r="K195" s="0" t="n">
        <v>2.48</v>
      </c>
      <c r="L195" s="3" t="n">
        <f aca="false">IF($K195&gt;0,TRUE())</f>
        <v>1</v>
      </c>
      <c r="M195" s="4" t="n">
        <f aca="false">M194+K195</f>
        <v>236.26</v>
      </c>
      <c r="N195" s="4" t="str">
        <f aca="false">VLOOKUP(C195, Sheet2!$A$2:$E$166,  5)</f>
        <v>YES</v>
      </c>
      <c r="O195" s="4" t="n">
        <f aca="false">IF(N195="YES", K195, 0)</f>
        <v>2.48</v>
      </c>
      <c r="P195" s="4" t="n">
        <f aca="false">P194+O195</f>
        <v>473.86</v>
      </c>
      <c r="Q195" s="3" t="b">
        <f aca="false">IF(O195=0, "N/A", IF(O195&gt;0,TRUE()))</f>
        <v>1</v>
      </c>
      <c r="R195" s="3" t="n">
        <f aca="false">AND(TIMEVALUE(B195)&gt;=TIME(8,0,0), TIMEVALUE(B195)&lt;=TIME(16,30,0))</f>
        <v>1</v>
      </c>
      <c r="S195" s="5" t="n">
        <f aca="false">IF(AND(Q195=1, R195=1), O195, 0)</f>
        <v>2.48</v>
      </c>
      <c r="T195" s="4" t="n">
        <f aca="false">T194+S195</f>
        <v>901.9</v>
      </c>
    </row>
    <row r="196" customFormat="false" ht="12.8" hidden="false" customHeight="false" outlineLevel="0" collapsed="false">
      <c r="A196" s="1" t="n">
        <v>46245</v>
      </c>
      <c r="B196" s="2" t="s">
        <v>53</v>
      </c>
      <c r="C196" s="1" t="n">
        <v>46245</v>
      </c>
      <c r="D196" s="2" t="s">
        <v>40</v>
      </c>
      <c r="E196" s="0" t="s">
        <v>9</v>
      </c>
      <c r="F196" s="0" t="s">
        <v>34</v>
      </c>
      <c r="G196" s="0" t="n">
        <v>10856.6</v>
      </c>
      <c r="H196" s="0" t="n">
        <v>10852.9</v>
      </c>
      <c r="I196" s="0" t="n">
        <v>-3.7</v>
      </c>
      <c r="J196" s="0" t="n">
        <f aca="false"> HLOOKUP(E196, $E$2:$I$3, 2, 0)</f>
        <v>0.8</v>
      </c>
      <c r="K196" s="0" t="n">
        <v>-3.26</v>
      </c>
      <c r="L196" s="3" t="n">
        <f aca="false">IF($K196&gt;0,TRUE())</f>
        <v>0</v>
      </c>
      <c r="M196" s="4" t="n">
        <f aca="false">M195+K196</f>
        <v>233</v>
      </c>
      <c r="N196" s="4" t="str">
        <f aca="false">VLOOKUP(C196, Sheet2!$A$2:$E$166,  5)</f>
        <v>YES</v>
      </c>
      <c r="O196" s="4" t="n">
        <f aca="false">IF(N196="YES", K196, 0)</f>
        <v>-3.26</v>
      </c>
      <c r="P196" s="4" t="n">
        <f aca="false">P195+O196</f>
        <v>470.6</v>
      </c>
      <c r="Q196" s="3" t="b">
        <f aca="false">IF(O196=0, "N/A", IF(O196&gt;0,TRUE()))</f>
        <v>0</v>
      </c>
      <c r="R196" s="3" t="n">
        <f aca="false">AND(TIMEVALUE(B196)&gt;=TIME(8,0,0), TIMEVALUE(B196)&lt;=TIME(16,30,0))</f>
        <v>0</v>
      </c>
      <c r="S196" s="5" t="n">
        <f aca="false">IF(AND(Q196=1, R196=1), O196, 0)</f>
        <v>0</v>
      </c>
      <c r="T196" s="4" t="n">
        <f aca="false">T195+S196</f>
        <v>901.9</v>
      </c>
    </row>
    <row r="197" customFormat="false" ht="12.8" hidden="false" customHeight="false" outlineLevel="0" collapsed="false">
      <c r="A197" s="1" t="n">
        <v>46245</v>
      </c>
      <c r="B197" s="2" t="s">
        <v>71</v>
      </c>
      <c r="C197" s="1" t="n">
        <v>46245</v>
      </c>
      <c r="D197" s="2" t="s">
        <v>98</v>
      </c>
      <c r="E197" s="0" t="s">
        <v>10</v>
      </c>
      <c r="F197" s="0" t="s">
        <v>34</v>
      </c>
      <c r="G197" s="0" t="n">
        <v>26278.2</v>
      </c>
      <c r="H197" s="0" t="n">
        <v>26304.7</v>
      </c>
      <c r="I197" s="0" t="n">
        <v>26.5</v>
      </c>
      <c r="J197" s="0" t="n">
        <f aca="false"> HLOOKUP(E197, $E$2:$I$3, 2, 0)</f>
        <v>0.37</v>
      </c>
      <c r="K197" s="0" t="n">
        <v>9.8</v>
      </c>
      <c r="L197" s="3" t="n">
        <f aca="false">IF($K197&gt;0,TRUE())</f>
        <v>1</v>
      </c>
      <c r="M197" s="4" t="n">
        <f aca="false">M196+K197</f>
        <v>242.8</v>
      </c>
      <c r="N197" s="4" t="str">
        <f aca="false">VLOOKUP(C197, Sheet2!$A$2:$E$166,  5)</f>
        <v>YES</v>
      </c>
      <c r="O197" s="4" t="n">
        <f aca="false">IF(N197="YES", K197, 0)</f>
        <v>9.8</v>
      </c>
      <c r="P197" s="4" t="n">
        <f aca="false">P196+O197</f>
        <v>480.4</v>
      </c>
      <c r="Q197" s="3" t="b">
        <f aca="false">IF(O197=0, "N/A", IF(O197&gt;0,TRUE()))</f>
        <v>1</v>
      </c>
      <c r="R197" s="3" t="n">
        <f aca="false">AND(TIMEVALUE(B197)&gt;=TIME(8,0,0), TIMEVALUE(B197)&lt;=TIME(16,30,0))</f>
        <v>1</v>
      </c>
      <c r="S197" s="5" t="n">
        <f aca="false">IF(AND(Q197=1, R197=1), O197, 0)</f>
        <v>9.8</v>
      </c>
      <c r="T197" s="4" t="n">
        <f aca="false">T196+S197</f>
        <v>911.7</v>
      </c>
    </row>
    <row r="198" customFormat="false" ht="12.8" hidden="false" customHeight="false" outlineLevel="0" collapsed="false">
      <c r="A198" s="1" t="n">
        <v>46245</v>
      </c>
      <c r="B198" s="2" t="s">
        <v>185</v>
      </c>
      <c r="C198" s="1" t="n">
        <v>46245</v>
      </c>
      <c r="D198" s="2" t="s">
        <v>141</v>
      </c>
      <c r="E198" s="0" t="s">
        <v>9</v>
      </c>
      <c r="F198" s="0" t="s">
        <v>34</v>
      </c>
      <c r="G198" s="0" t="n">
        <v>10848.6</v>
      </c>
      <c r="H198" s="0" t="n">
        <v>10845.1</v>
      </c>
      <c r="I198" s="0" t="n">
        <v>-3.5</v>
      </c>
      <c r="J198" s="0" t="n">
        <f aca="false"> HLOOKUP(E198, $E$2:$I$3, 2, 0)</f>
        <v>0.8</v>
      </c>
      <c r="K198" s="0" t="n">
        <v>-2.8</v>
      </c>
      <c r="L198" s="3" t="n">
        <f aca="false">IF($K198&gt;0,TRUE())</f>
        <v>0</v>
      </c>
      <c r="M198" s="4" t="n">
        <f aca="false">M197+K198</f>
        <v>240</v>
      </c>
      <c r="N198" s="4" t="str">
        <f aca="false">VLOOKUP(C198, Sheet2!$A$2:$E$166,  5)</f>
        <v>YES</v>
      </c>
      <c r="O198" s="4" t="n">
        <f aca="false">IF(N198="YES", K198, 0)</f>
        <v>-2.8</v>
      </c>
      <c r="P198" s="4" t="n">
        <f aca="false">P197+O198</f>
        <v>477.6</v>
      </c>
      <c r="Q198" s="3" t="b">
        <f aca="false">IF(O198=0, "N/A", IF(O198&gt;0,TRUE()))</f>
        <v>0</v>
      </c>
      <c r="R198" s="3" t="n">
        <f aca="false">AND(TIMEVALUE(B198)&gt;=TIME(8,0,0), TIMEVALUE(B198)&lt;=TIME(16,30,0))</f>
        <v>1</v>
      </c>
      <c r="S198" s="5" t="n">
        <f aca="false">IF(AND(Q198=1, R198=1), O198, 0)</f>
        <v>0</v>
      </c>
      <c r="T198" s="4" t="n">
        <f aca="false">T197+S198</f>
        <v>911.7</v>
      </c>
    </row>
    <row r="199" customFormat="false" ht="12.8" hidden="false" customHeight="false" outlineLevel="0" collapsed="false">
      <c r="A199" s="1" t="n">
        <v>46245</v>
      </c>
      <c r="B199" s="2" t="s">
        <v>148</v>
      </c>
      <c r="C199" s="1" t="n">
        <v>46245</v>
      </c>
      <c r="D199" s="2" t="s">
        <v>186</v>
      </c>
      <c r="E199" s="0" t="s">
        <v>4</v>
      </c>
      <c r="F199" s="0" t="s">
        <v>34</v>
      </c>
      <c r="G199" s="0" t="n">
        <v>8710.6</v>
      </c>
      <c r="H199" s="0" t="n">
        <v>8711.9</v>
      </c>
      <c r="I199" s="0" t="n">
        <v>1.3</v>
      </c>
      <c r="J199" s="0" t="n">
        <f aca="false"> HLOOKUP(E199, $E$2:$I$3, 2, 0)</f>
        <v>1</v>
      </c>
      <c r="K199" s="0" t="n">
        <v>1.3</v>
      </c>
      <c r="L199" s="3" t="n">
        <f aca="false">IF($K199&gt;0,TRUE())</f>
        <v>1</v>
      </c>
      <c r="M199" s="4" t="n">
        <f aca="false">M198+K199</f>
        <v>241.3</v>
      </c>
      <c r="N199" s="4" t="str">
        <f aca="false">VLOOKUP(C199, Sheet2!$A$2:$E$166,  5)</f>
        <v>YES</v>
      </c>
      <c r="O199" s="4" t="n">
        <f aca="false">IF(N199="YES", K199, 0)</f>
        <v>1.3</v>
      </c>
      <c r="P199" s="4" t="n">
        <f aca="false">P198+O199</f>
        <v>478.9</v>
      </c>
      <c r="Q199" s="3" t="b">
        <f aca="false">IF(O199=0, "N/A", IF(O199&gt;0,TRUE()))</f>
        <v>1</v>
      </c>
      <c r="R199" s="3" t="n">
        <f aca="false">AND(TIMEVALUE(B199)&gt;=TIME(8,0,0), TIMEVALUE(B199)&lt;=TIME(16,30,0))</f>
        <v>0</v>
      </c>
      <c r="S199" s="5" t="n">
        <f aca="false">IF(AND(Q199=1, R199=1), O199, 0)</f>
        <v>0</v>
      </c>
      <c r="T199" s="4" t="n">
        <f aca="false">T198+S199</f>
        <v>911.7</v>
      </c>
    </row>
    <row r="200" customFormat="false" ht="12.8" hidden="false" customHeight="false" outlineLevel="0" collapsed="false">
      <c r="A200" s="1" t="n">
        <v>46246</v>
      </c>
      <c r="B200" s="2" t="s">
        <v>107</v>
      </c>
      <c r="C200" s="1" t="n">
        <v>46246</v>
      </c>
      <c r="D200" s="2" t="s">
        <v>141</v>
      </c>
      <c r="E200" s="0" t="s">
        <v>10</v>
      </c>
      <c r="F200" s="0" t="s">
        <v>34</v>
      </c>
      <c r="G200" s="0" t="n">
        <v>26333.8</v>
      </c>
      <c r="H200" s="0" t="n">
        <v>26329.8</v>
      </c>
      <c r="I200" s="0" t="n">
        <v>-4</v>
      </c>
      <c r="J200" s="0" t="n">
        <f aca="false"> HLOOKUP(E200, $E$2:$I$3, 2, 0)</f>
        <v>0.37</v>
      </c>
      <c r="K200" s="0" t="n">
        <v>-1.48</v>
      </c>
      <c r="L200" s="3" t="n">
        <f aca="false">IF($K200&gt;0,TRUE())</f>
        <v>0</v>
      </c>
      <c r="M200" s="4" t="n">
        <f aca="false">M199+K200</f>
        <v>239.82</v>
      </c>
      <c r="N200" s="4" t="str">
        <f aca="false">VLOOKUP(C200, Sheet2!$A$2:$E$166,  5)</f>
        <v>YES</v>
      </c>
      <c r="O200" s="4" t="n">
        <f aca="false">IF(N200="YES", K200, 0)</f>
        <v>-1.48</v>
      </c>
      <c r="P200" s="4" t="n">
        <f aca="false">P199+O200</f>
        <v>477.42</v>
      </c>
      <c r="Q200" s="3" t="b">
        <f aca="false">IF(O200=0, "N/A", IF(O200&gt;0,TRUE()))</f>
        <v>0</v>
      </c>
      <c r="R200" s="3" t="n">
        <f aca="false">AND(TIMEVALUE(B200)&gt;=TIME(8,0,0), TIMEVALUE(B200)&lt;=TIME(16,30,0))</f>
        <v>1</v>
      </c>
      <c r="S200" s="5" t="n">
        <f aca="false">IF(AND(Q200=1, R200=1), O200, 0)</f>
        <v>0</v>
      </c>
      <c r="T200" s="4" t="n">
        <f aca="false">T199+S200</f>
        <v>911.7</v>
      </c>
    </row>
    <row r="201" customFormat="false" ht="12.8" hidden="false" customHeight="false" outlineLevel="0" collapsed="false">
      <c r="A201" s="1" t="n">
        <v>46247</v>
      </c>
      <c r="B201" s="2" t="s">
        <v>36</v>
      </c>
      <c r="C201" s="1" t="n">
        <v>46247</v>
      </c>
      <c r="D201" s="2" t="s">
        <v>146</v>
      </c>
      <c r="E201" s="0" t="s">
        <v>4</v>
      </c>
      <c r="F201" s="0" t="s">
        <v>34</v>
      </c>
      <c r="G201" s="0" t="n">
        <v>8686.8</v>
      </c>
      <c r="H201" s="0" t="n">
        <v>8658</v>
      </c>
      <c r="I201" s="0" t="n">
        <v>-28.8</v>
      </c>
      <c r="J201" s="0" t="n">
        <f aca="false"> HLOOKUP(E201, $E$2:$I$3, 2, 0)</f>
        <v>1</v>
      </c>
      <c r="K201" s="0" t="n">
        <v>-31.68</v>
      </c>
      <c r="L201" s="3" t="n">
        <f aca="false">IF($K201&gt;0,TRUE())</f>
        <v>0</v>
      </c>
      <c r="M201" s="4" t="n">
        <f aca="false">M200+K201</f>
        <v>208.14</v>
      </c>
      <c r="N201" s="4" t="str">
        <f aca="false">VLOOKUP(C201, Sheet2!$A$2:$E$166,  5)</f>
        <v>YES</v>
      </c>
      <c r="O201" s="4" t="n">
        <f aca="false">IF(N201="YES", K201, 0)</f>
        <v>-31.68</v>
      </c>
      <c r="P201" s="4" t="n">
        <f aca="false">P200+O201</f>
        <v>445.74</v>
      </c>
      <c r="Q201" s="3" t="b">
        <f aca="false">IF(O201=0, "N/A", IF(O201&gt;0,TRUE()))</f>
        <v>0</v>
      </c>
      <c r="R201" s="3" t="n">
        <f aca="false">AND(TIMEVALUE(B201)&gt;=TIME(8,0,0), TIMEVALUE(B201)&lt;=TIME(16,30,0))</f>
        <v>1</v>
      </c>
      <c r="S201" s="5" t="n">
        <f aca="false">IF(AND(Q201=1, R201=1), O201, 0)</f>
        <v>0</v>
      </c>
      <c r="T201" s="4" t="n">
        <f aca="false">T200+S201</f>
        <v>911.7</v>
      </c>
    </row>
    <row r="202" customFormat="false" ht="12.8" hidden="false" customHeight="false" outlineLevel="0" collapsed="false">
      <c r="A202" s="1" t="n">
        <v>46247</v>
      </c>
      <c r="B202" s="2" t="s">
        <v>173</v>
      </c>
      <c r="C202" s="1" t="n">
        <v>46247</v>
      </c>
      <c r="D202" s="2" t="s">
        <v>141</v>
      </c>
      <c r="E202" s="0" t="s">
        <v>4</v>
      </c>
      <c r="F202" s="0" t="s">
        <v>34</v>
      </c>
      <c r="G202" s="0" t="n">
        <v>8656.1</v>
      </c>
      <c r="H202" s="0" t="n">
        <v>8661.8</v>
      </c>
      <c r="I202" s="0" t="n">
        <v>5.7</v>
      </c>
      <c r="J202" s="0" t="n">
        <f aca="false"> HLOOKUP(E202, $E$2:$I$3, 2, 0)</f>
        <v>1</v>
      </c>
      <c r="K202" s="0" t="n">
        <v>5.7</v>
      </c>
      <c r="L202" s="3" t="n">
        <f aca="false">IF($K202&gt;0,TRUE())</f>
        <v>1</v>
      </c>
      <c r="M202" s="4" t="n">
        <f aca="false">M201+K202</f>
        <v>213.84</v>
      </c>
      <c r="N202" s="4" t="str">
        <f aca="false">VLOOKUP(C202, Sheet2!$A$2:$E$166,  5)</f>
        <v>YES</v>
      </c>
      <c r="O202" s="4" t="n">
        <f aca="false">IF(N202="YES", K202, 0)</f>
        <v>5.7</v>
      </c>
      <c r="P202" s="4" t="n">
        <f aca="false">P201+O202</f>
        <v>451.44</v>
      </c>
      <c r="Q202" s="3" t="b">
        <f aca="false">IF(O202=0, "N/A", IF(O202&gt;0,TRUE()))</f>
        <v>1</v>
      </c>
      <c r="R202" s="3" t="n">
        <f aca="false">AND(TIMEVALUE(B202)&gt;=TIME(8,0,0), TIMEVALUE(B202)&lt;=TIME(16,30,0))</f>
        <v>1</v>
      </c>
      <c r="S202" s="5" t="n">
        <f aca="false">IF(AND(Q202=1, R202=1), O202, 0)</f>
        <v>5.7</v>
      </c>
      <c r="T202" s="4" t="n">
        <f aca="false">T201+S202</f>
        <v>917.4</v>
      </c>
    </row>
    <row r="203" customFormat="false" ht="12.8" hidden="false" customHeight="false" outlineLevel="0" collapsed="false">
      <c r="A203" s="1" t="n">
        <v>46247</v>
      </c>
      <c r="B203" s="2" t="s">
        <v>108</v>
      </c>
      <c r="C203" s="1" t="n">
        <v>46247</v>
      </c>
      <c r="D203" s="2" t="s">
        <v>59</v>
      </c>
      <c r="E203" s="0" t="s">
        <v>9</v>
      </c>
      <c r="F203" s="0" t="s">
        <v>34</v>
      </c>
      <c r="G203" s="0" t="n">
        <v>10796</v>
      </c>
      <c r="H203" s="0" t="n">
        <v>10797.6</v>
      </c>
      <c r="I203" s="0" t="n">
        <v>1.6</v>
      </c>
      <c r="J203" s="0" t="n">
        <f aca="false"> HLOOKUP(E203, $E$2:$I$3, 2, 0)</f>
        <v>0.8</v>
      </c>
      <c r="K203" s="0" t="n">
        <v>1.28</v>
      </c>
      <c r="L203" s="3" t="n">
        <f aca="false">IF($K203&gt;0,TRUE())</f>
        <v>1</v>
      </c>
      <c r="M203" s="4" t="n">
        <f aca="false">M202+K203</f>
        <v>215.12</v>
      </c>
      <c r="N203" s="4" t="str">
        <f aca="false">VLOOKUP(C203, Sheet2!$A$2:$E$166,  5)</f>
        <v>YES</v>
      </c>
      <c r="O203" s="4" t="n">
        <f aca="false">IF(N203="YES", K203, 0)</f>
        <v>1.28</v>
      </c>
      <c r="P203" s="4" t="n">
        <f aca="false">P202+O203</f>
        <v>452.72</v>
      </c>
      <c r="Q203" s="3" t="b">
        <f aca="false">IF(O203=0, "N/A", IF(O203&gt;0,TRUE()))</f>
        <v>1</v>
      </c>
      <c r="R203" s="3" t="n">
        <f aca="false">AND(TIMEVALUE(B203)&gt;=TIME(8,0,0), TIMEVALUE(B203)&lt;=TIME(16,30,0))</f>
        <v>0</v>
      </c>
      <c r="S203" s="5" t="n">
        <f aca="false">IF(AND(Q203=1, R203=1), O203, 0)</f>
        <v>0</v>
      </c>
      <c r="T203" s="4" t="n">
        <f aca="false">T202+S203</f>
        <v>917.4</v>
      </c>
    </row>
    <row r="204" customFormat="false" ht="12.8" hidden="false" customHeight="false" outlineLevel="0" collapsed="false">
      <c r="A204" s="1" t="n">
        <v>46248</v>
      </c>
      <c r="B204" s="2" t="s">
        <v>187</v>
      </c>
      <c r="C204" s="1" t="n">
        <v>46248</v>
      </c>
      <c r="D204" s="2" t="s">
        <v>141</v>
      </c>
      <c r="E204" s="0" t="s">
        <v>4</v>
      </c>
      <c r="F204" s="0" t="s">
        <v>34</v>
      </c>
      <c r="G204" s="0" t="n">
        <v>8651.5</v>
      </c>
      <c r="H204" s="0" t="n">
        <v>8636.2</v>
      </c>
      <c r="I204" s="0" t="n">
        <v>-15.3</v>
      </c>
      <c r="J204" s="0" t="n">
        <f aca="false"> HLOOKUP(E204, $E$2:$I$3, 2, 0)</f>
        <v>1</v>
      </c>
      <c r="K204" s="0" t="n">
        <v>-15.3</v>
      </c>
      <c r="L204" s="3" t="n">
        <f aca="false">IF($K204&gt;0,TRUE())</f>
        <v>0</v>
      </c>
      <c r="M204" s="4" t="n">
        <f aca="false">M203+K204</f>
        <v>199.82</v>
      </c>
      <c r="N204" s="4" t="str">
        <f aca="false">VLOOKUP(C204, Sheet2!$A$2:$E$166,  5)</f>
        <v>NO</v>
      </c>
      <c r="O204" s="4" t="n">
        <f aca="false">IF(N204="YES", K204, 0)</f>
        <v>0</v>
      </c>
      <c r="P204" s="4" t="n">
        <f aca="false">P203+O204</f>
        <v>452.72</v>
      </c>
      <c r="Q204" s="5" t="str">
        <f aca="false">IF(O204=0, "N/A", IF(O204&gt;0,TRUE()))</f>
        <v>N/A</v>
      </c>
      <c r="R204" s="3" t="n">
        <f aca="false">AND(TIMEVALUE(B204)&gt;=TIME(8,0,0), TIMEVALUE(B204)&lt;=TIME(16,30,0))</f>
        <v>1</v>
      </c>
      <c r="S204" s="5" t="n">
        <f aca="false">IF(AND(Q204=1, R204=1), O204, 0)</f>
        <v>0</v>
      </c>
      <c r="T204" s="4" t="n">
        <f aca="false">T203+S204</f>
        <v>917.4</v>
      </c>
    </row>
    <row r="205" customFormat="false" ht="12.8" hidden="false" customHeight="false" outlineLevel="0" collapsed="false">
      <c r="A205" s="1" t="n">
        <v>46251</v>
      </c>
      <c r="B205" s="2" t="s">
        <v>105</v>
      </c>
      <c r="C205" s="1" t="n">
        <v>46251</v>
      </c>
      <c r="D205" s="2" t="s">
        <v>188</v>
      </c>
      <c r="E205" s="0" t="s">
        <v>9</v>
      </c>
      <c r="F205" s="0" t="s">
        <v>62</v>
      </c>
      <c r="G205" s="0" t="n">
        <v>10783.4</v>
      </c>
      <c r="H205" s="0" t="n">
        <v>10782</v>
      </c>
      <c r="I205" s="0" t="n">
        <v>1.4</v>
      </c>
      <c r="J205" s="0" t="n">
        <f aca="false"> HLOOKUP(E205, $E$2:$I$3, 2, 0)</f>
        <v>0.8</v>
      </c>
      <c r="K205" s="0" t="n">
        <v>1.23</v>
      </c>
      <c r="L205" s="3" t="n">
        <f aca="false">IF($K205&gt;0,TRUE())</f>
        <v>1</v>
      </c>
      <c r="M205" s="4" t="n">
        <f aca="false">M204+K205</f>
        <v>201.05</v>
      </c>
      <c r="N205" s="4" t="str">
        <f aca="false">VLOOKUP(C205, Sheet2!$A$2:$E$166,  5)</f>
        <v>NO</v>
      </c>
      <c r="O205" s="4" t="n">
        <f aca="false">IF(N205="YES", K205, 0)</f>
        <v>0</v>
      </c>
      <c r="P205" s="4" t="n">
        <f aca="false">P204+O205</f>
        <v>452.72</v>
      </c>
      <c r="Q205" s="5" t="str">
        <f aca="false">IF(O205=0, "N/A", IF(O205&gt;0,TRUE()))</f>
        <v>N/A</v>
      </c>
      <c r="R205" s="3" t="n">
        <f aca="false">AND(TIMEVALUE(B205)&gt;=TIME(8,0,0), TIMEVALUE(B205)&lt;=TIME(16,30,0))</f>
        <v>0</v>
      </c>
      <c r="S205" s="5" t="n">
        <f aca="false">IF(AND(Q205=1, R205=1), O205, 0)</f>
        <v>0</v>
      </c>
      <c r="T205" s="4" t="n">
        <f aca="false">T204+S205</f>
        <v>917.4</v>
      </c>
    </row>
    <row r="206" customFormat="false" ht="12.8" hidden="false" customHeight="false" outlineLevel="0" collapsed="false">
      <c r="A206" s="1" t="n">
        <v>46251</v>
      </c>
      <c r="B206" s="2" t="s">
        <v>189</v>
      </c>
      <c r="C206" s="1" t="n">
        <v>46251</v>
      </c>
      <c r="D206" s="2" t="s">
        <v>74</v>
      </c>
      <c r="E206" s="0" t="s">
        <v>10</v>
      </c>
      <c r="F206" s="0" t="s">
        <v>34</v>
      </c>
      <c r="G206" s="0" t="n">
        <v>26466.5</v>
      </c>
      <c r="H206" s="0" t="n">
        <v>26398</v>
      </c>
      <c r="I206" s="0" t="n">
        <v>-68.5</v>
      </c>
      <c r="J206" s="0" t="n">
        <f aca="false"> HLOOKUP(E206, $E$2:$I$3, 2, 0)</f>
        <v>0.37</v>
      </c>
      <c r="K206" s="0" t="n">
        <v>-27.4</v>
      </c>
      <c r="L206" s="3" t="n">
        <f aca="false">IF($K206&gt;0,TRUE())</f>
        <v>0</v>
      </c>
      <c r="M206" s="4" t="n">
        <f aca="false">M205+K206</f>
        <v>173.65</v>
      </c>
      <c r="N206" s="4" t="str">
        <f aca="false">VLOOKUP(C206, Sheet2!$A$2:$E$166,  5)</f>
        <v>NO</v>
      </c>
      <c r="O206" s="4" t="n">
        <f aca="false">IF(N206="YES", K206, 0)</f>
        <v>0</v>
      </c>
      <c r="P206" s="4" t="n">
        <f aca="false">P205+O206</f>
        <v>452.72</v>
      </c>
      <c r="Q206" s="5" t="str">
        <f aca="false">IF(O206=0, "N/A", IF(O206&gt;0,TRUE()))</f>
        <v>N/A</v>
      </c>
      <c r="R206" s="3" t="n">
        <f aca="false">AND(TIMEVALUE(B206)&gt;=TIME(8,0,0), TIMEVALUE(B206)&lt;=TIME(16,30,0))</f>
        <v>0</v>
      </c>
      <c r="S206" s="5" t="n">
        <f aca="false">IF(AND(Q206=1, R206=1), O206, 0)</f>
        <v>0</v>
      </c>
      <c r="T206" s="4" t="n">
        <f aca="false">T205+S206</f>
        <v>917.4</v>
      </c>
    </row>
    <row r="207" customFormat="false" ht="12.8" hidden="false" customHeight="false" outlineLevel="0" collapsed="false">
      <c r="A207" s="1" t="n">
        <v>46251</v>
      </c>
      <c r="B207" s="2" t="s">
        <v>129</v>
      </c>
      <c r="C207" s="1" t="n">
        <v>46251</v>
      </c>
      <c r="D207" s="2" t="s">
        <v>141</v>
      </c>
      <c r="E207" s="0" t="s">
        <v>4</v>
      </c>
      <c r="F207" s="0" t="s">
        <v>34</v>
      </c>
      <c r="G207" s="0" t="n">
        <v>8595</v>
      </c>
      <c r="H207" s="0" t="n">
        <v>8586.5</v>
      </c>
      <c r="I207" s="0" t="n">
        <v>-8.5</v>
      </c>
      <c r="J207" s="0" t="n">
        <f aca="false"> HLOOKUP(E207, $E$2:$I$3, 2, 0)</f>
        <v>1</v>
      </c>
      <c r="K207" s="0" t="n">
        <v>-8.5</v>
      </c>
      <c r="L207" s="3" t="n">
        <f aca="false">IF($K207&gt;0,TRUE())</f>
        <v>0</v>
      </c>
      <c r="M207" s="4" t="n">
        <f aca="false">M206+K207</f>
        <v>165.15</v>
      </c>
      <c r="N207" s="4" t="str">
        <f aca="false">VLOOKUP(C207, Sheet2!$A$2:$E$166,  5)</f>
        <v>NO</v>
      </c>
      <c r="O207" s="4" t="n">
        <f aca="false">IF(N207="YES", K207, 0)</f>
        <v>0</v>
      </c>
      <c r="P207" s="4" t="n">
        <f aca="false">P206+O207</f>
        <v>452.72</v>
      </c>
      <c r="Q207" s="5" t="str">
        <f aca="false">IF(O207=0, "N/A", IF(O207&gt;0,TRUE()))</f>
        <v>N/A</v>
      </c>
      <c r="R207" s="3" t="n">
        <f aca="false">AND(TIMEVALUE(B207)&gt;=TIME(8,0,0), TIMEVALUE(B207)&lt;=TIME(16,30,0))</f>
        <v>1</v>
      </c>
      <c r="S207" s="5" t="n">
        <f aca="false">IF(AND(Q207=1, R207=1), O207, 0)</f>
        <v>0</v>
      </c>
      <c r="T207" s="4" t="n">
        <f aca="false">T206+S207</f>
        <v>917.4</v>
      </c>
    </row>
    <row r="208" customFormat="false" ht="12.8" hidden="false" customHeight="false" outlineLevel="0" collapsed="false">
      <c r="A208" s="1" t="n">
        <v>46251</v>
      </c>
      <c r="B208" s="2" t="s">
        <v>176</v>
      </c>
      <c r="C208" s="1" t="n">
        <v>46251</v>
      </c>
      <c r="D208" s="2" t="s">
        <v>108</v>
      </c>
      <c r="E208" s="0" t="s">
        <v>10</v>
      </c>
      <c r="F208" s="0" t="s">
        <v>34</v>
      </c>
      <c r="G208" s="0" t="n">
        <v>26306.5</v>
      </c>
      <c r="H208" s="0" t="n">
        <v>26305.6</v>
      </c>
      <c r="I208" s="0" t="n">
        <v>-0.9</v>
      </c>
      <c r="J208" s="0" t="n">
        <f aca="false"> HLOOKUP(E208, $E$2:$I$3, 2, 0)</f>
        <v>0.37</v>
      </c>
      <c r="K208" s="0" t="n">
        <v>-0.33</v>
      </c>
      <c r="L208" s="3" t="n">
        <f aca="false">IF($K208&gt;0,TRUE())</f>
        <v>0</v>
      </c>
      <c r="M208" s="4" t="n">
        <f aca="false">M207+K208</f>
        <v>164.82</v>
      </c>
      <c r="N208" s="4" t="str">
        <f aca="false">VLOOKUP(C208, Sheet2!$A$2:$E$166,  5)</f>
        <v>NO</v>
      </c>
      <c r="O208" s="4" t="n">
        <f aca="false">IF(N208="YES", K208, 0)</f>
        <v>0</v>
      </c>
      <c r="P208" s="4" t="n">
        <f aca="false">P207+O208</f>
        <v>452.72</v>
      </c>
      <c r="Q208" s="5" t="str">
        <f aca="false">IF(O208=0, "N/A", IF(O208&gt;0,TRUE()))</f>
        <v>N/A</v>
      </c>
      <c r="R208" s="3" t="n">
        <f aca="false">AND(TIMEVALUE(B208)&gt;=TIME(8,0,0), TIMEVALUE(B208)&lt;=TIME(16,30,0))</f>
        <v>0</v>
      </c>
      <c r="S208" s="5" t="n">
        <f aca="false">IF(AND(Q208=1, R208=1), O208, 0)</f>
        <v>0</v>
      </c>
      <c r="T208" s="4" t="n">
        <f aca="false">T207+S208</f>
        <v>917.4</v>
      </c>
    </row>
    <row r="209" customFormat="false" ht="12.8" hidden="false" customHeight="false" outlineLevel="0" collapsed="false">
      <c r="A209" s="1" t="n">
        <v>46252</v>
      </c>
      <c r="B209" s="2" t="s">
        <v>154</v>
      </c>
      <c r="C209" s="1" t="n">
        <v>46252</v>
      </c>
      <c r="D209" s="2" t="s">
        <v>40</v>
      </c>
      <c r="E209" s="0" t="s">
        <v>9</v>
      </c>
      <c r="F209" s="0" t="s">
        <v>62</v>
      </c>
      <c r="G209" s="0" t="n">
        <v>10736.6</v>
      </c>
      <c r="H209" s="0" t="n">
        <v>10732.7</v>
      </c>
      <c r="I209" s="0" t="n">
        <v>3.9</v>
      </c>
      <c r="J209" s="0" t="n">
        <f aca="false"> HLOOKUP(E209, $E$2:$I$3, 2, 0)</f>
        <v>0.8</v>
      </c>
      <c r="K209" s="0" t="n">
        <v>3.43</v>
      </c>
      <c r="L209" s="3" t="n">
        <f aca="false">IF($K209&gt;0,TRUE())</f>
        <v>1</v>
      </c>
      <c r="M209" s="4" t="n">
        <f aca="false">M208+K209</f>
        <v>168.25</v>
      </c>
      <c r="N209" s="4" t="str">
        <f aca="false">VLOOKUP(C209, Sheet2!$A$2:$E$166,  5)</f>
        <v>NO</v>
      </c>
      <c r="O209" s="4" t="n">
        <f aca="false">IF(N209="YES", K209, 0)</f>
        <v>0</v>
      </c>
      <c r="P209" s="4" t="n">
        <f aca="false">P208+O209</f>
        <v>452.72</v>
      </c>
      <c r="Q209" s="5" t="str">
        <f aca="false">IF(O209=0, "N/A", IF(O209&gt;0,TRUE()))</f>
        <v>N/A</v>
      </c>
      <c r="R209" s="3" t="n">
        <f aca="false">AND(TIMEVALUE(B209)&gt;=TIME(8,0,0), TIMEVALUE(B209)&lt;=TIME(16,30,0))</f>
        <v>0</v>
      </c>
      <c r="S209" s="5" t="n">
        <f aca="false">IF(AND(Q209=1, R209=1), O209, 0)</f>
        <v>0</v>
      </c>
      <c r="T209" s="4" t="n">
        <f aca="false">T208+S209</f>
        <v>917.4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"/>
  <sheetViews>
    <sheetView showFormulas="false" showGridLines="true" showRowColHeaders="true" showZeros="true" rightToLeft="false" tabSelected="false" showOutlineSymbols="true" defaultGridColor="true" view="normal" topLeftCell="A138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190</v>
      </c>
      <c r="B1" s="0" t="s">
        <v>191</v>
      </c>
      <c r="C1" s="0" t="s">
        <v>192</v>
      </c>
      <c r="D1" s="0" t="s">
        <v>193</v>
      </c>
      <c r="E1" s="0" t="s">
        <v>30</v>
      </c>
    </row>
    <row r="2" customFormat="false" ht="12.8" hidden="false" customHeight="false" outlineLevel="0" collapsed="false">
      <c r="A2" s="1" t="n">
        <v>46023</v>
      </c>
      <c r="B2" s="0" t="s">
        <v>194</v>
      </c>
      <c r="C2" s="0" t="n">
        <v>0</v>
      </c>
      <c r="D2" s="0" t="n">
        <v>0</v>
      </c>
      <c r="E2" s="0" t="s">
        <v>195</v>
      </c>
    </row>
    <row r="3" customFormat="false" ht="12.8" hidden="false" customHeight="false" outlineLevel="0" collapsed="false">
      <c r="A3" s="1" t="n">
        <v>46024</v>
      </c>
      <c r="B3" s="0" t="s">
        <v>194</v>
      </c>
      <c r="C3" s="0" t="n">
        <v>-3</v>
      </c>
      <c r="D3" s="0" t="n">
        <v>1</v>
      </c>
      <c r="E3" s="0" t="s">
        <v>195</v>
      </c>
    </row>
    <row r="4" customFormat="false" ht="12.8" hidden="false" customHeight="false" outlineLevel="0" collapsed="false">
      <c r="A4" s="1" t="n">
        <v>46027</v>
      </c>
      <c r="B4" s="0" t="s">
        <v>194</v>
      </c>
      <c r="C4" s="0" t="n">
        <v>-6</v>
      </c>
      <c r="D4" s="0" t="n">
        <v>2</v>
      </c>
      <c r="E4" s="0" t="s">
        <v>195</v>
      </c>
    </row>
    <row r="5" customFormat="false" ht="12.8" hidden="false" customHeight="false" outlineLevel="0" collapsed="false">
      <c r="A5" s="1" t="n">
        <v>46028</v>
      </c>
      <c r="B5" s="0" t="s">
        <v>194</v>
      </c>
      <c r="C5" s="0" t="n">
        <v>-9</v>
      </c>
      <c r="D5" s="0" t="n">
        <v>3</v>
      </c>
      <c r="E5" s="0" t="s">
        <v>195</v>
      </c>
    </row>
    <row r="6" customFormat="false" ht="12.8" hidden="false" customHeight="false" outlineLevel="0" collapsed="false">
      <c r="A6" s="1" t="n">
        <v>46029</v>
      </c>
      <c r="B6" s="0" t="s">
        <v>196</v>
      </c>
      <c r="C6" s="0" t="n">
        <v>-9</v>
      </c>
      <c r="D6" s="0" t="n">
        <v>3</v>
      </c>
      <c r="E6" s="0" t="s">
        <v>195</v>
      </c>
    </row>
    <row r="7" customFormat="false" ht="12.8" hidden="false" customHeight="false" outlineLevel="0" collapsed="false">
      <c r="A7" s="1" t="n">
        <v>46030</v>
      </c>
      <c r="B7" s="0" t="s">
        <v>196</v>
      </c>
      <c r="C7" s="0" t="n">
        <v>-5</v>
      </c>
      <c r="D7" s="0" t="n">
        <v>3</v>
      </c>
      <c r="E7" s="0" t="s">
        <v>197</v>
      </c>
    </row>
    <row r="8" customFormat="false" ht="12.8" hidden="false" customHeight="false" outlineLevel="0" collapsed="false">
      <c r="A8" s="1" t="n">
        <v>46031</v>
      </c>
      <c r="B8" s="0" t="s">
        <v>196</v>
      </c>
      <c r="C8" s="0" t="n">
        <v>-1</v>
      </c>
      <c r="D8" s="0" t="n">
        <v>3</v>
      </c>
      <c r="E8" s="0" t="s">
        <v>197</v>
      </c>
    </row>
    <row r="9" customFormat="false" ht="12.8" hidden="false" customHeight="false" outlineLevel="0" collapsed="false">
      <c r="A9" s="1" t="n">
        <v>46034</v>
      </c>
      <c r="B9" s="0" t="s">
        <v>196</v>
      </c>
      <c r="C9" s="0" t="n">
        <v>3</v>
      </c>
      <c r="D9" s="0" t="n">
        <v>3</v>
      </c>
      <c r="E9" s="0" t="s">
        <v>197</v>
      </c>
    </row>
    <row r="10" customFormat="false" ht="12.8" hidden="false" customHeight="false" outlineLevel="0" collapsed="false">
      <c r="A10" s="1" t="n">
        <v>46035</v>
      </c>
      <c r="B10" s="0" t="s">
        <v>196</v>
      </c>
      <c r="C10" s="0" t="n">
        <v>3</v>
      </c>
      <c r="D10" s="0" t="n">
        <v>3</v>
      </c>
      <c r="E10" s="0" t="s">
        <v>197</v>
      </c>
    </row>
    <row r="11" customFormat="false" ht="12.8" hidden="false" customHeight="false" outlineLevel="0" collapsed="false">
      <c r="A11" s="1" t="n">
        <v>46036</v>
      </c>
      <c r="B11" s="0" t="s">
        <v>196</v>
      </c>
      <c r="C11" s="0" t="n">
        <v>3</v>
      </c>
      <c r="D11" s="0" t="n">
        <v>3</v>
      </c>
      <c r="E11" s="0" t="s">
        <v>197</v>
      </c>
    </row>
    <row r="12" customFormat="false" ht="12.8" hidden="false" customHeight="false" outlineLevel="0" collapsed="false">
      <c r="A12" s="1" t="n">
        <v>46037</v>
      </c>
      <c r="B12" s="0" t="s">
        <v>196</v>
      </c>
      <c r="C12" s="0" t="n">
        <v>3</v>
      </c>
      <c r="D12" s="0" t="n">
        <v>3</v>
      </c>
      <c r="E12" s="0" t="s">
        <v>197</v>
      </c>
    </row>
    <row r="13" customFormat="false" ht="12.8" hidden="false" customHeight="false" outlineLevel="0" collapsed="false">
      <c r="A13" s="1" t="n">
        <v>46038</v>
      </c>
      <c r="B13" s="0" t="s">
        <v>196</v>
      </c>
      <c r="C13" s="0" t="n">
        <v>3</v>
      </c>
      <c r="D13" s="0" t="n">
        <v>3</v>
      </c>
      <c r="E13" s="0" t="s">
        <v>197</v>
      </c>
    </row>
    <row r="14" customFormat="false" ht="12.8" hidden="false" customHeight="false" outlineLevel="0" collapsed="false">
      <c r="A14" s="1" t="n">
        <v>46041</v>
      </c>
      <c r="B14" s="0" t="s">
        <v>194</v>
      </c>
      <c r="C14" s="0" t="n">
        <v>3</v>
      </c>
      <c r="D14" s="0" t="n">
        <v>3</v>
      </c>
      <c r="E14" s="0" t="s">
        <v>195</v>
      </c>
    </row>
    <row r="15" customFormat="false" ht="12.8" hidden="false" customHeight="false" outlineLevel="0" collapsed="false">
      <c r="A15" s="1" t="n">
        <v>46042</v>
      </c>
      <c r="B15" s="0" t="s">
        <v>194</v>
      </c>
      <c r="C15" s="0" t="n">
        <v>-1</v>
      </c>
      <c r="D15" s="0" t="n">
        <v>3</v>
      </c>
      <c r="E15" s="0" t="s">
        <v>195</v>
      </c>
    </row>
    <row r="16" customFormat="false" ht="12.8" hidden="false" customHeight="false" outlineLevel="0" collapsed="false">
      <c r="A16" s="1" t="n">
        <v>46043</v>
      </c>
      <c r="B16" s="0" t="s">
        <v>194</v>
      </c>
      <c r="C16" s="0" t="n">
        <v>-5</v>
      </c>
      <c r="D16" s="0" t="n">
        <v>3</v>
      </c>
      <c r="E16" s="0" t="s">
        <v>195</v>
      </c>
    </row>
    <row r="17" customFormat="false" ht="12.8" hidden="false" customHeight="false" outlineLevel="0" collapsed="false">
      <c r="A17" s="1" t="n">
        <v>46044</v>
      </c>
      <c r="B17" s="0" t="s">
        <v>194</v>
      </c>
      <c r="C17" s="0" t="n">
        <v>-9</v>
      </c>
      <c r="D17" s="0" t="n">
        <v>3</v>
      </c>
      <c r="E17" s="0" t="s">
        <v>195</v>
      </c>
    </row>
    <row r="18" customFormat="false" ht="12.8" hidden="false" customHeight="false" outlineLevel="0" collapsed="false">
      <c r="A18" s="1" t="n">
        <v>46045</v>
      </c>
      <c r="B18" s="0" t="s">
        <v>194</v>
      </c>
      <c r="C18" s="0" t="n">
        <v>-9</v>
      </c>
      <c r="D18" s="0" t="n">
        <v>3</v>
      </c>
      <c r="E18" s="0" t="s">
        <v>195</v>
      </c>
    </row>
    <row r="19" customFormat="false" ht="12.8" hidden="false" customHeight="false" outlineLevel="0" collapsed="false">
      <c r="A19" s="1" t="n">
        <v>46048</v>
      </c>
      <c r="B19" s="0" t="s">
        <v>194</v>
      </c>
      <c r="C19" s="0" t="n">
        <v>-9</v>
      </c>
      <c r="D19" s="0" t="n">
        <v>3</v>
      </c>
      <c r="E19" s="0" t="s">
        <v>195</v>
      </c>
    </row>
    <row r="20" customFormat="false" ht="12.8" hidden="false" customHeight="false" outlineLevel="0" collapsed="false">
      <c r="A20" s="1" t="n">
        <v>46049</v>
      </c>
      <c r="B20" s="0" t="s">
        <v>194</v>
      </c>
      <c r="C20" s="0" t="n">
        <v>-9</v>
      </c>
      <c r="D20" s="0" t="n">
        <v>3</v>
      </c>
      <c r="E20" s="0" t="s">
        <v>195</v>
      </c>
    </row>
    <row r="21" customFormat="false" ht="12.8" hidden="false" customHeight="false" outlineLevel="0" collapsed="false">
      <c r="A21" s="1" t="n">
        <v>46050</v>
      </c>
      <c r="B21" s="0" t="s">
        <v>194</v>
      </c>
      <c r="C21" s="0" t="n">
        <v>-9</v>
      </c>
      <c r="D21" s="0" t="n">
        <v>3</v>
      </c>
      <c r="E21" s="0" t="s">
        <v>195</v>
      </c>
    </row>
    <row r="22" customFormat="false" ht="12.8" hidden="false" customHeight="false" outlineLevel="0" collapsed="false">
      <c r="A22" s="1" t="n">
        <v>46051</v>
      </c>
      <c r="B22" s="0" t="s">
        <v>194</v>
      </c>
      <c r="C22" s="0" t="n">
        <v>-9</v>
      </c>
      <c r="D22" s="0" t="n">
        <v>3</v>
      </c>
      <c r="E22" s="0" t="s">
        <v>195</v>
      </c>
    </row>
    <row r="23" customFormat="false" ht="12.8" hidden="false" customHeight="false" outlineLevel="0" collapsed="false">
      <c r="A23" s="1" t="n">
        <v>46052</v>
      </c>
      <c r="B23" s="0" t="s">
        <v>194</v>
      </c>
      <c r="C23" s="0" t="n">
        <v>-9</v>
      </c>
      <c r="D23" s="0" t="n">
        <v>3</v>
      </c>
      <c r="E23" s="0" t="s">
        <v>195</v>
      </c>
    </row>
    <row r="24" customFormat="false" ht="12.8" hidden="false" customHeight="false" outlineLevel="0" collapsed="false">
      <c r="A24" s="1" t="n">
        <v>46055</v>
      </c>
      <c r="B24" s="0" t="s">
        <v>194</v>
      </c>
      <c r="C24" s="0" t="n">
        <v>-9</v>
      </c>
      <c r="D24" s="0" t="n">
        <v>3</v>
      </c>
      <c r="E24" s="0" t="s">
        <v>195</v>
      </c>
    </row>
    <row r="25" customFormat="false" ht="12.8" hidden="false" customHeight="false" outlineLevel="0" collapsed="false">
      <c r="A25" s="1" t="n">
        <v>46056</v>
      </c>
      <c r="B25" s="0" t="s">
        <v>194</v>
      </c>
      <c r="C25" s="0" t="n">
        <v>-9</v>
      </c>
      <c r="D25" s="0" t="n">
        <v>3</v>
      </c>
      <c r="E25" s="0" t="s">
        <v>195</v>
      </c>
    </row>
    <row r="26" customFormat="false" ht="12.8" hidden="false" customHeight="false" outlineLevel="0" collapsed="false">
      <c r="A26" s="1" t="n">
        <v>46057</v>
      </c>
      <c r="B26" s="0" t="s">
        <v>194</v>
      </c>
      <c r="C26" s="0" t="n">
        <v>-9</v>
      </c>
      <c r="D26" s="0" t="n">
        <v>3</v>
      </c>
      <c r="E26" s="0" t="s">
        <v>195</v>
      </c>
    </row>
    <row r="27" customFormat="false" ht="12.8" hidden="false" customHeight="false" outlineLevel="0" collapsed="false">
      <c r="A27" s="1" t="n">
        <v>46058</v>
      </c>
      <c r="B27" s="0" t="s">
        <v>194</v>
      </c>
      <c r="C27" s="0" t="n">
        <v>-9</v>
      </c>
      <c r="D27" s="0" t="n">
        <v>3</v>
      </c>
      <c r="E27" s="0" t="s">
        <v>195</v>
      </c>
    </row>
    <row r="28" customFormat="false" ht="12.8" hidden="false" customHeight="false" outlineLevel="0" collapsed="false">
      <c r="A28" s="1" t="n">
        <v>46059</v>
      </c>
      <c r="B28" s="0" t="s">
        <v>194</v>
      </c>
      <c r="C28" s="0" t="n">
        <v>-9</v>
      </c>
      <c r="D28" s="0" t="n">
        <v>3</v>
      </c>
      <c r="E28" s="0" t="s">
        <v>195</v>
      </c>
    </row>
    <row r="29" customFormat="false" ht="12.8" hidden="false" customHeight="false" outlineLevel="0" collapsed="false">
      <c r="A29" s="1" t="n">
        <v>46062</v>
      </c>
      <c r="B29" s="0" t="s">
        <v>194</v>
      </c>
      <c r="C29" s="0" t="n">
        <v>-9</v>
      </c>
      <c r="D29" s="0" t="n">
        <v>3</v>
      </c>
      <c r="E29" s="0" t="s">
        <v>195</v>
      </c>
    </row>
    <row r="30" customFormat="false" ht="12.8" hidden="false" customHeight="false" outlineLevel="0" collapsed="false">
      <c r="A30" s="1" t="n">
        <v>46063</v>
      </c>
      <c r="B30" s="0" t="s">
        <v>196</v>
      </c>
      <c r="C30" s="0" t="n">
        <v>-9</v>
      </c>
      <c r="D30" s="0" t="n">
        <v>3</v>
      </c>
      <c r="E30" s="0" t="s">
        <v>195</v>
      </c>
    </row>
    <row r="31" customFormat="false" ht="12.8" hidden="false" customHeight="false" outlineLevel="0" collapsed="false">
      <c r="A31" s="1" t="n">
        <v>46064</v>
      </c>
      <c r="B31" s="0" t="s">
        <v>196</v>
      </c>
      <c r="C31" s="0" t="n">
        <v>-5</v>
      </c>
      <c r="D31" s="0" t="n">
        <v>3</v>
      </c>
      <c r="E31" s="0" t="s">
        <v>197</v>
      </c>
    </row>
    <row r="32" customFormat="false" ht="12.8" hidden="false" customHeight="false" outlineLevel="0" collapsed="false">
      <c r="A32" s="1" t="n">
        <v>46065</v>
      </c>
      <c r="B32" s="0" t="s">
        <v>196</v>
      </c>
      <c r="C32" s="0" t="n">
        <v>-1</v>
      </c>
      <c r="D32" s="0" t="n">
        <v>3</v>
      </c>
      <c r="E32" s="0" t="s">
        <v>197</v>
      </c>
    </row>
    <row r="33" customFormat="false" ht="12.8" hidden="false" customHeight="false" outlineLevel="0" collapsed="false">
      <c r="A33" s="1" t="n">
        <v>46066</v>
      </c>
      <c r="B33" s="0" t="s">
        <v>196</v>
      </c>
      <c r="C33" s="0" t="n">
        <v>3</v>
      </c>
      <c r="D33" s="0" t="n">
        <v>3</v>
      </c>
      <c r="E33" s="0" t="s">
        <v>197</v>
      </c>
    </row>
    <row r="34" customFormat="false" ht="12.8" hidden="false" customHeight="false" outlineLevel="0" collapsed="false">
      <c r="A34" s="1" t="n">
        <v>46069</v>
      </c>
      <c r="B34" s="0" t="s">
        <v>196</v>
      </c>
      <c r="C34" s="0" t="n">
        <v>3</v>
      </c>
      <c r="D34" s="0" t="n">
        <v>3</v>
      </c>
      <c r="E34" s="0" t="s">
        <v>197</v>
      </c>
    </row>
    <row r="35" customFormat="false" ht="12.8" hidden="false" customHeight="false" outlineLevel="0" collapsed="false">
      <c r="A35" s="1" t="n">
        <v>46070</v>
      </c>
      <c r="B35" s="0" t="s">
        <v>196</v>
      </c>
      <c r="C35" s="0" t="n">
        <v>3</v>
      </c>
      <c r="D35" s="0" t="n">
        <v>3</v>
      </c>
      <c r="E35" s="0" t="s">
        <v>197</v>
      </c>
    </row>
    <row r="36" customFormat="false" ht="12.8" hidden="false" customHeight="false" outlineLevel="0" collapsed="false">
      <c r="A36" s="1" t="n">
        <v>46071</v>
      </c>
      <c r="B36" s="0" t="s">
        <v>196</v>
      </c>
      <c r="C36" s="0" t="n">
        <v>3</v>
      </c>
      <c r="D36" s="0" t="n">
        <v>3</v>
      </c>
      <c r="E36" s="0" t="s">
        <v>197</v>
      </c>
    </row>
    <row r="37" customFormat="false" ht="12.8" hidden="false" customHeight="false" outlineLevel="0" collapsed="false">
      <c r="A37" s="1" t="n">
        <v>46072</v>
      </c>
      <c r="B37" s="0" t="s">
        <v>196</v>
      </c>
      <c r="C37" s="0" t="n">
        <v>3</v>
      </c>
      <c r="D37" s="0" t="n">
        <v>3</v>
      </c>
      <c r="E37" s="0" t="s">
        <v>197</v>
      </c>
    </row>
    <row r="38" customFormat="false" ht="12.8" hidden="false" customHeight="false" outlineLevel="0" collapsed="false">
      <c r="A38" s="1" t="n">
        <v>46073</v>
      </c>
      <c r="B38" s="0" t="s">
        <v>196</v>
      </c>
      <c r="C38" s="0" t="n">
        <v>3</v>
      </c>
      <c r="D38" s="0" t="n">
        <v>3</v>
      </c>
      <c r="E38" s="0" t="s">
        <v>197</v>
      </c>
    </row>
    <row r="39" customFormat="false" ht="12.8" hidden="false" customHeight="false" outlineLevel="0" collapsed="false">
      <c r="A39" s="1" t="n">
        <v>46076</v>
      </c>
      <c r="B39" s="0" t="s">
        <v>196</v>
      </c>
      <c r="C39" s="0" t="n">
        <v>3</v>
      </c>
      <c r="D39" s="0" t="n">
        <v>3</v>
      </c>
      <c r="E39" s="0" t="s">
        <v>197</v>
      </c>
    </row>
    <row r="40" customFormat="false" ht="12.8" hidden="false" customHeight="false" outlineLevel="0" collapsed="false">
      <c r="A40" s="1" t="n">
        <v>46077</v>
      </c>
      <c r="B40" s="0" t="s">
        <v>196</v>
      </c>
      <c r="C40" s="0" t="n">
        <v>3</v>
      </c>
      <c r="D40" s="0" t="n">
        <v>3</v>
      </c>
      <c r="E40" s="0" t="s">
        <v>197</v>
      </c>
    </row>
    <row r="41" customFormat="false" ht="12.8" hidden="false" customHeight="false" outlineLevel="0" collapsed="false">
      <c r="A41" s="1" t="n">
        <v>46078</v>
      </c>
      <c r="B41" s="0" t="s">
        <v>196</v>
      </c>
      <c r="C41" s="0" t="n">
        <v>3</v>
      </c>
      <c r="D41" s="0" t="n">
        <v>3</v>
      </c>
      <c r="E41" s="0" t="s">
        <v>197</v>
      </c>
    </row>
    <row r="42" customFormat="false" ht="12.8" hidden="false" customHeight="false" outlineLevel="0" collapsed="false">
      <c r="A42" s="1" t="n">
        <v>46079</v>
      </c>
      <c r="B42" s="0" t="s">
        <v>196</v>
      </c>
      <c r="C42" s="0" t="n">
        <v>3</v>
      </c>
      <c r="D42" s="0" t="n">
        <v>3</v>
      </c>
      <c r="E42" s="0" t="s">
        <v>197</v>
      </c>
    </row>
    <row r="43" customFormat="false" ht="12.8" hidden="false" customHeight="false" outlineLevel="0" collapsed="false">
      <c r="A43" s="1" t="n">
        <v>46080</v>
      </c>
      <c r="B43" s="0" t="s">
        <v>196</v>
      </c>
      <c r="C43" s="0" t="n">
        <v>3</v>
      </c>
      <c r="D43" s="0" t="n">
        <v>3</v>
      </c>
      <c r="E43" s="0" t="s">
        <v>197</v>
      </c>
    </row>
    <row r="44" customFormat="false" ht="12.8" hidden="false" customHeight="false" outlineLevel="0" collapsed="false">
      <c r="A44" s="1" t="n">
        <v>46083</v>
      </c>
      <c r="B44" s="0" t="s">
        <v>194</v>
      </c>
      <c r="C44" s="0" t="n">
        <v>3</v>
      </c>
      <c r="D44" s="0" t="n">
        <v>3</v>
      </c>
      <c r="E44" s="0" t="s">
        <v>195</v>
      </c>
    </row>
    <row r="45" customFormat="false" ht="12.8" hidden="false" customHeight="false" outlineLevel="0" collapsed="false">
      <c r="A45" s="1" t="n">
        <v>46084</v>
      </c>
      <c r="B45" s="0" t="s">
        <v>196</v>
      </c>
      <c r="C45" s="0" t="n">
        <v>-1</v>
      </c>
      <c r="D45" s="0" t="n">
        <v>3</v>
      </c>
      <c r="E45" s="0" t="s">
        <v>197</v>
      </c>
    </row>
    <row r="46" customFormat="false" ht="12.8" hidden="false" customHeight="false" outlineLevel="0" collapsed="false">
      <c r="A46" s="1" t="n">
        <v>46085</v>
      </c>
      <c r="B46" s="0" t="s">
        <v>196</v>
      </c>
      <c r="C46" s="0" t="n">
        <v>-1</v>
      </c>
      <c r="D46" s="0" t="n">
        <v>3</v>
      </c>
      <c r="E46" s="0" t="s">
        <v>197</v>
      </c>
    </row>
    <row r="47" customFormat="false" ht="12.8" hidden="false" customHeight="false" outlineLevel="0" collapsed="false">
      <c r="A47" s="1" t="n">
        <v>46086</v>
      </c>
      <c r="B47" s="0" t="s">
        <v>196</v>
      </c>
      <c r="C47" s="0" t="n">
        <v>-1</v>
      </c>
      <c r="D47" s="0" t="n">
        <v>3</v>
      </c>
      <c r="E47" s="0" t="s">
        <v>197</v>
      </c>
    </row>
    <row r="48" customFormat="false" ht="12.8" hidden="false" customHeight="false" outlineLevel="0" collapsed="false">
      <c r="A48" s="1" t="n">
        <v>46087</v>
      </c>
      <c r="B48" s="0" t="s">
        <v>196</v>
      </c>
      <c r="C48" s="0" t="n">
        <v>3</v>
      </c>
      <c r="D48" s="0" t="n">
        <v>3</v>
      </c>
      <c r="E48" s="0" t="s">
        <v>197</v>
      </c>
    </row>
    <row r="49" customFormat="false" ht="12.8" hidden="false" customHeight="false" outlineLevel="0" collapsed="false">
      <c r="A49" s="1" t="n">
        <v>46090</v>
      </c>
      <c r="B49" s="0" t="s">
        <v>196</v>
      </c>
      <c r="C49" s="0" t="n">
        <v>3</v>
      </c>
      <c r="D49" s="0" t="n">
        <v>3</v>
      </c>
      <c r="E49" s="0" t="s">
        <v>197</v>
      </c>
    </row>
    <row r="50" customFormat="false" ht="12.8" hidden="false" customHeight="false" outlineLevel="0" collapsed="false">
      <c r="A50" s="1" t="n">
        <v>46091</v>
      </c>
      <c r="B50" s="0" t="s">
        <v>196</v>
      </c>
      <c r="C50" s="0" t="n">
        <v>3</v>
      </c>
      <c r="D50" s="0" t="n">
        <v>3</v>
      </c>
      <c r="E50" s="0" t="s">
        <v>197</v>
      </c>
    </row>
    <row r="51" customFormat="false" ht="12.8" hidden="false" customHeight="false" outlineLevel="0" collapsed="false">
      <c r="A51" s="1" t="n">
        <v>46092</v>
      </c>
      <c r="B51" s="0" t="s">
        <v>196</v>
      </c>
      <c r="C51" s="0" t="n">
        <v>3</v>
      </c>
      <c r="D51" s="0" t="n">
        <v>3</v>
      </c>
      <c r="E51" s="0" t="s">
        <v>197</v>
      </c>
    </row>
    <row r="52" customFormat="false" ht="12.8" hidden="false" customHeight="false" outlineLevel="0" collapsed="false">
      <c r="A52" s="1" t="n">
        <v>46093</v>
      </c>
      <c r="B52" s="0" t="s">
        <v>196</v>
      </c>
      <c r="C52" s="0" t="n">
        <v>3</v>
      </c>
      <c r="D52" s="0" t="n">
        <v>3</v>
      </c>
      <c r="E52" s="0" t="s">
        <v>197</v>
      </c>
    </row>
    <row r="53" customFormat="false" ht="12.8" hidden="false" customHeight="false" outlineLevel="0" collapsed="false">
      <c r="A53" s="1" t="n">
        <v>46094</v>
      </c>
      <c r="B53" s="0" t="s">
        <v>196</v>
      </c>
      <c r="C53" s="0" t="n">
        <v>3</v>
      </c>
      <c r="D53" s="0" t="n">
        <v>3</v>
      </c>
      <c r="E53" s="0" t="s">
        <v>197</v>
      </c>
    </row>
    <row r="54" customFormat="false" ht="12.8" hidden="false" customHeight="false" outlineLevel="0" collapsed="false">
      <c r="A54" s="1" t="n">
        <v>46097</v>
      </c>
      <c r="B54" s="0" t="s">
        <v>196</v>
      </c>
      <c r="C54" s="0" t="n">
        <v>3</v>
      </c>
      <c r="D54" s="0" t="n">
        <v>3</v>
      </c>
      <c r="E54" s="0" t="s">
        <v>197</v>
      </c>
    </row>
    <row r="55" customFormat="false" ht="12.8" hidden="false" customHeight="false" outlineLevel="0" collapsed="false">
      <c r="A55" s="1" t="n">
        <v>46098</v>
      </c>
      <c r="B55" s="0" t="s">
        <v>196</v>
      </c>
      <c r="C55" s="0" t="n">
        <v>3</v>
      </c>
      <c r="D55" s="0" t="n">
        <v>3</v>
      </c>
      <c r="E55" s="0" t="s">
        <v>197</v>
      </c>
    </row>
    <row r="56" customFormat="false" ht="12.8" hidden="false" customHeight="false" outlineLevel="0" collapsed="false">
      <c r="A56" s="1" t="n">
        <v>46099</v>
      </c>
      <c r="B56" s="0" t="s">
        <v>196</v>
      </c>
      <c r="C56" s="0" t="n">
        <v>3</v>
      </c>
      <c r="D56" s="0" t="n">
        <v>3</v>
      </c>
      <c r="E56" s="0" t="s">
        <v>197</v>
      </c>
    </row>
    <row r="57" customFormat="false" ht="12.8" hidden="false" customHeight="false" outlineLevel="0" collapsed="false">
      <c r="A57" s="1" t="n">
        <v>46100</v>
      </c>
      <c r="B57" s="0" t="s">
        <v>196</v>
      </c>
      <c r="C57" s="0" t="n">
        <v>3</v>
      </c>
      <c r="D57" s="0" t="n">
        <v>3</v>
      </c>
      <c r="E57" s="0" t="s">
        <v>197</v>
      </c>
    </row>
    <row r="58" customFormat="false" ht="12.8" hidden="false" customHeight="false" outlineLevel="0" collapsed="false">
      <c r="A58" s="1" t="n">
        <v>46101</v>
      </c>
      <c r="B58" s="0" t="s">
        <v>196</v>
      </c>
      <c r="C58" s="0" t="n">
        <v>3</v>
      </c>
      <c r="D58" s="0" t="n">
        <v>3</v>
      </c>
      <c r="E58" s="0" t="s">
        <v>197</v>
      </c>
    </row>
    <row r="59" customFormat="false" ht="12.8" hidden="false" customHeight="false" outlineLevel="0" collapsed="false">
      <c r="A59" s="1" t="n">
        <v>46104</v>
      </c>
      <c r="B59" s="0" t="s">
        <v>196</v>
      </c>
      <c r="C59" s="0" t="n">
        <v>3</v>
      </c>
      <c r="D59" s="0" t="n">
        <v>3</v>
      </c>
      <c r="E59" s="0" t="s">
        <v>197</v>
      </c>
    </row>
    <row r="60" customFormat="false" ht="12.8" hidden="false" customHeight="false" outlineLevel="0" collapsed="false">
      <c r="A60" s="1" t="n">
        <v>46105</v>
      </c>
      <c r="B60" s="0" t="s">
        <v>196</v>
      </c>
      <c r="C60" s="0" t="n">
        <v>3</v>
      </c>
      <c r="D60" s="0" t="n">
        <v>3</v>
      </c>
      <c r="E60" s="0" t="s">
        <v>197</v>
      </c>
    </row>
    <row r="61" customFormat="false" ht="12.8" hidden="false" customHeight="false" outlineLevel="0" collapsed="false">
      <c r="A61" s="1" t="n">
        <v>46106</v>
      </c>
      <c r="B61" s="0" t="s">
        <v>196</v>
      </c>
      <c r="C61" s="0" t="n">
        <v>3</v>
      </c>
      <c r="D61" s="0" t="n">
        <v>3</v>
      </c>
      <c r="E61" s="0" t="s">
        <v>197</v>
      </c>
    </row>
    <row r="62" customFormat="false" ht="12.8" hidden="false" customHeight="false" outlineLevel="0" collapsed="false">
      <c r="A62" s="1" t="n">
        <v>46107</v>
      </c>
      <c r="B62" s="0" t="s">
        <v>196</v>
      </c>
      <c r="C62" s="0" t="n">
        <v>3</v>
      </c>
      <c r="D62" s="0" t="n">
        <v>3</v>
      </c>
      <c r="E62" s="0" t="s">
        <v>197</v>
      </c>
    </row>
    <row r="63" customFormat="false" ht="12.8" hidden="false" customHeight="false" outlineLevel="0" collapsed="false">
      <c r="A63" s="1" t="n">
        <v>46108</v>
      </c>
      <c r="B63" s="0" t="s">
        <v>196</v>
      </c>
      <c r="C63" s="0" t="n">
        <v>3</v>
      </c>
      <c r="D63" s="0" t="n">
        <v>3</v>
      </c>
      <c r="E63" s="0" t="s">
        <v>197</v>
      </c>
    </row>
    <row r="64" customFormat="false" ht="12.8" hidden="false" customHeight="false" outlineLevel="0" collapsed="false">
      <c r="A64" s="1" t="n">
        <v>46111</v>
      </c>
      <c r="B64" s="0" t="s">
        <v>196</v>
      </c>
      <c r="C64" s="0" t="n">
        <v>3</v>
      </c>
      <c r="D64" s="0" t="n">
        <v>3</v>
      </c>
      <c r="E64" s="0" t="s">
        <v>197</v>
      </c>
    </row>
    <row r="65" customFormat="false" ht="12.8" hidden="false" customHeight="false" outlineLevel="0" collapsed="false">
      <c r="A65" s="1" t="n">
        <v>46112</v>
      </c>
      <c r="B65" s="0" t="s">
        <v>194</v>
      </c>
      <c r="C65" s="0" t="n">
        <v>3</v>
      </c>
      <c r="D65" s="0" t="n">
        <v>3</v>
      </c>
      <c r="E65" s="0" t="s">
        <v>195</v>
      </c>
    </row>
    <row r="66" customFormat="false" ht="12.8" hidden="false" customHeight="false" outlineLevel="0" collapsed="false">
      <c r="A66" s="1" t="n">
        <v>46113</v>
      </c>
      <c r="B66" s="0" t="s">
        <v>196</v>
      </c>
      <c r="C66" s="0" t="n">
        <v>-1</v>
      </c>
      <c r="D66" s="0" t="n">
        <v>3</v>
      </c>
      <c r="E66" s="0" t="s">
        <v>197</v>
      </c>
    </row>
    <row r="67" customFormat="false" ht="12.8" hidden="false" customHeight="false" outlineLevel="0" collapsed="false">
      <c r="A67" s="1" t="n">
        <v>46114</v>
      </c>
      <c r="B67" s="0" t="s">
        <v>194</v>
      </c>
      <c r="C67" s="0" t="n">
        <v>-1</v>
      </c>
      <c r="D67" s="0" t="n">
        <v>3</v>
      </c>
      <c r="E67" s="0" t="s">
        <v>195</v>
      </c>
    </row>
    <row r="68" customFormat="false" ht="12.8" hidden="false" customHeight="false" outlineLevel="0" collapsed="false">
      <c r="A68" s="1" t="n">
        <v>46115</v>
      </c>
      <c r="B68" s="0" t="s">
        <v>198</v>
      </c>
      <c r="C68" s="0" t="n">
        <v>-5</v>
      </c>
      <c r="D68" s="0" t="n">
        <v>3</v>
      </c>
      <c r="E68" s="0" t="s">
        <v>195</v>
      </c>
    </row>
    <row r="69" customFormat="false" ht="12.8" hidden="false" customHeight="false" outlineLevel="0" collapsed="false">
      <c r="A69" s="1" t="n">
        <v>46118</v>
      </c>
      <c r="B69" s="0" t="s">
        <v>198</v>
      </c>
      <c r="C69" s="0" t="n">
        <v>-2</v>
      </c>
      <c r="D69" s="0" t="n">
        <v>2</v>
      </c>
      <c r="E69" s="0" t="s">
        <v>195</v>
      </c>
    </row>
    <row r="70" customFormat="false" ht="12.8" hidden="false" customHeight="false" outlineLevel="0" collapsed="false">
      <c r="A70" s="1" t="n">
        <v>46119</v>
      </c>
      <c r="B70" s="0" t="s">
        <v>198</v>
      </c>
      <c r="C70" s="0" t="n">
        <v>-3</v>
      </c>
      <c r="D70" s="0" t="n">
        <v>1</v>
      </c>
      <c r="E70" s="0" t="s">
        <v>195</v>
      </c>
    </row>
    <row r="71" customFormat="false" ht="12.8" hidden="false" customHeight="false" outlineLevel="0" collapsed="false">
      <c r="A71" s="1" t="n">
        <v>46120</v>
      </c>
      <c r="B71" s="0" t="s">
        <v>198</v>
      </c>
      <c r="C71" s="0" t="n">
        <v>0</v>
      </c>
      <c r="D71" s="0" t="n">
        <v>0</v>
      </c>
      <c r="E71" s="0" t="s">
        <v>195</v>
      </c>
    </row>
    <row r="72" customFormat="false" ht="12.8" hidden="false" customHeight="false" outlineLevel="0" collapsed="false">
      <c r="A72" s="1" t="n">
        <v>46121</v>
      </c>
      <c r="B72" s="0" t="s">
        <v>194</v>
      </c>
      <c r="C72" s="0" t="n">
        <v>0</v>
      </c>
      <c r="D72" s="0" t="n">
        <v>0</v>
      </c>
      <c r="E72" s="0" t="s">
        <v>195</v>
      </c>
    </row>
    <row r="73" customFormat="false" ht="12.8" hidden="false" customHeight="false" outlineLevel="0" collapsed="false">
      <c r="A73" s="1" t="n">
        <v>46122</v>
      </c>
      <c r="B73" s="0" t="s">
        <v>196</v>
      </c>
      <c r="C73" s="0" t="n">
        <v>-3</v>
      </c>
      <c r="D73" s="0" t="n">
        <v>1</v>
      </c>
      <c r="E73" s="0" t="s">
        <v>197</v>
      </c>
    </row>
    <row r="74" customFormat="false" ht="12.8" hidden="false" customHeight="false" outlineLevel="0" collapsed="false">
      <c r="A74" s="1" t="n">
        <v>46125</v>
      </c>
      <c r="B74" s="0" t="s">
        <v>196</v>
      </c>
      <c r="C74" s="0" t="n">
        <v>-2</v>
      </c>
      <c r="D74" s="0" t="n">
        <v>2</v>
      </c>
      <c r="E74" s="0" t="s">
        <v>197</v>
      </c>
    </row>
    <row r="75" customFormat="false" ht="12.8" hidden="false" customHeight="false" outlineLevel="0" collapsed="false">
      <c r="A75" s="1" t="n">
        <v>46126</v>
      </c>
      <c r="B75" s="0" t="s">
        <v>196</v>
      </c>
      <c r="C75" s="0" t="n">
        <v>-1</v>
      </c>
      <c r="D75" s="0" t="n">
        <v>3</v>
      </c>
      <c r="E75" s="0" t="s">
        <v>197</v>
      </c>
    </row>
    <row r="76" customFormat="false" ht="12.8" hidden="false" customHeight="false" outlineLevel="0" collapsed="false">
      <c r="A76" s="1" t="n">
        <v>46127</v>
      </c>
      <c r="B76" s="0" t="s">
        <v>196</v>
      </c>
      <c r="C76" s="0" t="n">
        <v>3</v>
      </c>
      <c r="D76" s="0" t="n">
        <v>3</v>
      </c>
      <c r="E76" s="0" t="s">
        <v>197</v>
      </c>
    </row>
    <row r="77" customFormat="false" ht="12.8" hidden="false" customHeight="false" outlineLevel="0" collapsed="false">
      <c r="A77" s="1" t="n">
        <v>46128</v>
      </c>
      <c r="B77" s="0" t="s">
        <v>196</v>
      </c>
      <c r="C77" s="0" t="n">
        <v>3</v>
      </c>
      <c r="D77" s="0" t="n">
        <v>3</v>
      </c>
      <c r="E77" s="0" t="s">
        <v>197</v>
      </c>
    </row>
    <row r="78" customFormat="false" ht="12.8" hidden="false" customHeight="false" outlineLevel="0" collapsed="false">
      <c r="A78" s="1" t="n">
        <v>46129</v>
      </c>
      <c r="B78" s="0" t="s">
        <v>196</v>
      </c>
      <c r="C78" s="0" t="n">
        <v>3</v>
      </c>
      <c r="D78" s="0" t="n">
        <v>3</v>
      </c>
      <c r="E78" s="0" t="s">
        <v>197</v>
      </c>
    </row>
    <row r="79" customFormat="false" ht="12.8" hidden="false" customHeight="false" outlineLevel="0" collapsed="false">
      <c r="A79" s="1" t="n">
        <v>46132</v>
      </c>
      <c r="B79" s="0" t="s">
        <v>196</v>
      </c>
      <c r="C79" s="0" t="n">
        <v>3</v>
      </c>
      <c r="D79" s="0" t="n">
        <v>3</v>
      </c>
      <c r="E79" s="0" t="s">
        <v>197</v>
      </c>
    </row>
    <row r="80" customFormat="false" ht="12.8" hidden="false" customHeight="false" outlineLevel="0" collapsed="false">
      <c r="A80" s="1" t="n">
        <v>46133</v>
      </c>
      <c r="B80" s="0" t="s">
        <v>194</v>
      </c>
      <c r="C80" s="0" t="n">
        <v>3</v>
      </c>
      <c r="D80" s="0" t="n">
        <v>3</v>
      </c>
      <c r="E80" s="0" t="s">
        <v>195</v>
      </c>
    </row>
    <row r="81" customFormat="false" ht="12.8" hidden="false" customHeight="false" outlineLevel="0" collapsed="false">
      <c r="A81" s="1" t="n">
        <v>46134</v>
      </c>
      <c r="B81" s="0" t="s">
        <v>194</v>
      </c>
      <c r="C81" s="0" t="n">
        <v>-1</v>
      </c>
      <c r="D81" s="0" t="n">
        <v>3</v>
      </c>
      <c r="E81" s="0" t="s">
        <v>195</v>
      </c>
    </row>
    <row r="82" customFormat="false" ht="12.8" hidden="false" customHeight="false" outlineLevel="0" collapsed="false">
      <c r="A82" s="1" t="n">
        <v>46135</v>
      </c>
      <c r="B82" s="0" t="s">
        <v>194</v>
      </c>
      <c r="C82" s="0" t="n">
        <v>-5</v>
      </c>
      <c r="D82" s="0" t="n">
        <v>3</v>
      </c>
      <c r="E82" s="0" t="s">
        <v>195</v>
      </c>
    </row>
    <row r="83" customFormat="false" ht="12.8" hidden="false" customHeight="false" outlineLevel="0" collapsed="false">
      <c r="A83" s="1" t="n">
        <v>46136</v>
      </c>
      <c r="B83" s="0" t="s">
        <v>194</v>
      </c>
      <c r="C83" s="0" t="n">
        <v>-9</v>
      </c>
      <c r="D83" s="0" t="n">
        <v>3</v>
      </c>
      <c r="E83" s="0" t="s">
        <v>195</v>
      </c>
    </row>
    <row r="84" customFormat="false" ht="12.8" hidden="false" customHeight="false" outlineLevel="0" collapsed="false">
      <c r="A84" s="1" t="n">
        <v>46139</v>
      </c>
      <c r="B84" s="0" t="s">
        <v>194</v>
      </c>
      <c r="C84" s="0" t="n">
        <v>-9</v>
      </c>
      <c r="D84" s="0" t="n">
        <v>3</v>
      </c>
      <c r="E84" s="0" t="s">
        <v>195</v>
      </c>
    </row>
    <row r="85" customFormat="false" ht="12.8" hidden="false" customHeight="false" outlineLevel="0" collapsed="false">
      <c r="A85" s="1" t="n">
        <v>46140</v>
      </c>
      <c r="B85" s="0" t="s">
        <v>194</v>
      </c>
      <c r="C85" s="0" t="n">
        <v>-9</v>
      </c>
      <c r="D85" s="0" t="n">
        <v>3</v>
      </c>
      <c r="E85" s="0" t="s">
        <v>195</v>
      </c>
    </row>
    <row r="86" customFormat="false" ht="12.8" hidden="false" customHeight="false" outlineLevel="0" collapsed="false">
      <c r="A86" s="1" t="n">
        <v>46141</v>
      </c>
      <c r="B86" s="0" t="s">
        <v>194</v>
      </c>
      <c r="C86" s="0" t="n">
        <v>-9</v>
      </c>
      <c r="D86" s="0" t="n">
        <v>3</v>
      </c>
      <c r="E86" s="0" t="s">
        <v>195</v>
      </c>
    </row>
    <row r="87" customFormat="false" ht="12.8" hidden="false" customHeight="false" outlineLevel="0" collapsed="false">
      <c r="A87" s="1" t="n">
        <v>46142</v>
      </c>
      <c r="B87" s="0" t="s">
        <v>194</v>
      </c>
      <c r="C87" s="0" t="n">
        <v>-9</v>
      </c>
      <c r="D87" s="0" t="n">
        <v>3</v>
      </c>
      <c r="E87" s="0" t="s">
        <v>195</v>
      </c>
    </row>
    <row r="88" customFormat="false" ht="12.8" hidden="false" customHeight="false" outlineLevel="0" collapsed="false">
      <c r="A88" s="1" t="n">
        <v>46143</v>
      </c>
      <c r="B88" s="0" t="s">
        <v>194</v>
      </c>
      <c r="C88" s="0" t="n">
        <v>-9</v>
      </c>
      <c r="D88" s="0" t="n">
        <v>3</v>
      </c>
      <c r="E88" s="0" t="s">
        <v>195</v>
      </c>
    </row>
    <row r="89" customFormat="false" ht="12.8" hidden="false" customHeight="false" outlineLevel="0" collapsed="false">
      <c r="A89" s="1" t="n">
        <v>46146</v>
      </c>
      <c r="B89" s="0" t="s">
        <v>194</v>
      </c>
      <c r="C89" s="0" t="n">
        <v>-9</v>
      </c>
      <c r="D89" s="0" t="n">
        <v>3</v>
      </c>
      <c r="E89" s="0" t="s">
        <v>195</v>
      </c>
    </row>
    <row r="90" customFormat="false" ht="12.8" hidden="false" customHeight="false" outlineLevel="0" collapsed="false">
      <c r="A90" s="1" t="n">
        <v>46147</v>
      </c>
      <c r="B90" s="0" t="s">
        <v>194</v>
      </c>
      <c r="C90" s="0" t="n">
        <v>-9</v>
      </c>
      <c r="D90" s="0" t="n">
        <v>3</v>
      </c>
      <c r="E90" s="0" t="s">
        <v>195</v>
      </c>
    </row>
    <row r="91" customFormat="false" ht="12.8" hidden="false" customHeight="false" outlineLevel="0" collapsed="false">
      <c r="A91" s="1" t="n">
        <v>46148</v>
      </c>
      <c r="B91" s="0" t="s">
        <v>194</v>
      </c>
      <c r="C91" s="0" t="n">
        <v>-9</v>
      </c>
      <c r="D91" s="0" t="n">
        <v>3</v>
      </c>
      <c r="E91" s="0" t="s">
        <v>195</v>
      </c>
    </row>
    <row r="92" customFormat="false" ht="12.8" hidden="false" customHeight="false" outlineLevel="0" collapsed="false">
      <c r="A92" s="1" t="n">
        <v>46149</v>
      </c>
      <c r="B92" s="0" t="s">
        <v>194</v>
      </c>
      <c r="C92" s="0" t="n">
        <v>-9</v>
      </c>
      <c r="D92" s="0" t="n">
        <v>3</v>
      </c>
      <c r="E92" s="0" t="s">
        <v>195</v>
      </c>
    </row>
    <row r="93" customFormat="false" ht="12.8" hidden="false" customHeight="false" outlineLevel="0" collapsed="false">
      <c r="A93" s="1" t="n">
        <v>46150</v>
      </c>
      <c r="B93" s="0" t="s">
        <v>194</v>
      </c>
      <c r="C93" s="0" t="n">
        <v>-9</v>
      </c>
      <c r="D93" s="0" t="n">
        <v>3</v>
      </c>
      <c r="E93" s="0" t="s">
        <v>195</v>
      </c>
    </row>
    <row r="94" customFormat="false" ht="12.8" hidden="false" customHeight="false" outlineLevel="0" collapsed="false">
      <c r="A94" s="1" t="n">
        <v>46153</v>
      </c>
      <c r="B94" s="0" t="s">
        <v>194</v>
      </c>
      <c r="C94" s="0" t="n">
        <v>-9</v>
      </c>
      <c r="D94" s="0" t="n">
        <v>3</v>
      </c>
      <c r="E94" s="0" t="s">
        <v>195</v>
      </c>
    </row>
    <row r="95" customFormat="false" ht="12.8" hidden="false" customHeight="false" outlineLevel="0" collapsed="false">
      <c r="A95" s="1" t="n">
        <v>46154</v>
      </c>
      <c r="B95" s="0" t="s">
        <v>194</v>
      </c>
      <c r="C95" s="0" t="n">
        <v>-9</v>
      </c>
      <c r="D95" s="0" t="n">
        <v>3</v>
      </c>
      <c r="E95" s="0" t="s">
        <v>195</v>
      </c>
    </row>
    <row r="96" customFormat="false" ht="12.8" hidden="false" customHeight="false" outlineLevel="0" collapsed="false">
      <c r="A96" s="1" t="n">
        <v>46155</v>
      </c>
      <c r="B96" s="0" t="s">
        <v>194</v>
      </c>
      <c r="C96" s="0" t="n">
        <v>-9</v>
      </c>
      <c r="D96" s="0" t="n">
        <v>3</v>
      </c>
      <c r="E96" s="0" t="s">
        <v>195</v>
      </c>
    </row>
    <row r="97" customFormat="false" ht="12.8" hidden="false" customHeight="false" outlineLevel="0" collapsed="false">
      <c r="A97" s="1" t="n">
        <v>46156</v>
      </c>
      <c r="B97" s="0" t="s">
        <v>194</v>
      </c>
      <c r="C97" s="0" t="n">
        <v>-9</v>
      </c>
      <c r="D97" s="0" t="n">
        <v>3</v>
      </c>
      <c r="E97" s="0" t="s">
        <v>195</v>
      </c>
    </row>
    <row r="98" customFormat="false" ht="12.8" hidden="false" customHeight="false" outlineLevel="0" collapsed="false">
      <c r="A98" s="1" t="n">
        <v>46157</v>
      </c>
      <c r="B98" s="0" t="s">
        <v>194</v>
      </c>
      <c r="C98" s="0" t="n">
        <v>-9</v>
      </c>
      <c r="D98" s="0" t="n">
        <v>3</v>
      </c>
      <c r="E98" s="0" t="s">
        <v>195</v>
      </c>
    </row>
    <row r="99" customFormat="false" ht="12.8" hidden="false" customHeight="false" outlineLevel="0" collapsed="false">
      <c r="A99" s="1" t="n">
        <v>46160</v>
      </c>
      <c r="B99" s="0" t="s">
        <v>194</v>
      </c>
      <c r="C99" s="0" t="n">
        <v>-9</v>
      </c>
      <c r="D99" s="0" t="n">
        <v>3</v>
      </c>
      <c r="E99" s="0" t="s">
        <v>195</v>
      </c>
    </row>
    <row r="100" customFormat="false" ht="12.8" hidden="false" customHeight="false" outlineLevel="0" collapsed="false">
      <c r="A100" s="1" t="n">
        <v>46161</v>
      </c>
      <c r="B100" s="0" t="s">
        <v>194</v>
      </c>
      <c r="C100" s="0" t="n">
        <v>-9</v>
      </c>
      <c r="D100" s="0" t="n">
        <v>3</v>
      </c>
      <c r="E100" s="0" t="s">
        <v>195</v>
      </c>
    </row>
    <row r="101" customFormat="false" ht="12.8" hidden="false" customHeight="false" outlineLevel="0" collapsed="false">
      <c r="A101" s="1" t="n">
        <v>46162</v>
      </c>
      <c r="B101" s="0" t="s">
        <v>194</v>
      </c>
      <c r="C101" s="0" t="n">
        <v>-9</v>
      </c>
      <c r="D101" s="0" t="n">
        <v>3</v>
      </c>
      <c r="E101" s="0" t="s">
        <v>195</v>
      </c>
    </row>
    <row r="102" customFormat="false" ht="12.8" hidden="false" customHeight="false" outlineLevel="0" collapsed="false">
      <c r="A102" s="1" t="n">
        <v>46163</v>
      </c>
      <c r="B102" s="0" t="s">
        <v>194</v>
      </c>
      <c r="C102" s="0" t="n">
        <v>-9</v>
      </c>
      <c r="D102" s="0" t="n">
        <v>3</v>
      </c>
      <c r="E102" s="0" t="s">
        <v>195</v>
      </c>
    </row>
    <row r="103" customFormat="false" ht="12.8" hidden="false" customHeight="false" outlineLevel="0" collapsed="false">
      <c r="A103" s="1" t="n">
        <v>46164</v>
      </c>
      <c r="B103" s="0" t="s">
        <v>196</v>
      </c>
      <c r="C103" s="0" t="n">
        <v>-9</v>
      </c>
      <c r="D103" s="0" t="n">
        <v>3</v>
      </c>
      <c r="E103" s="0" t="s">
        <v>195</v>
      </c>
    </row>
    <row r="104" customFormat="false" ht="12.8" hidden="false" customHeight="false" outlineLevel="0" collapsed="false">
      <c r="A104" s="1" t="n">
        <v>46167</v>
      </c>
      <c r="B104" s="0" t="s">
        <v>196</v>
      </c>
      <c r="C104" s="0" t="n">
        <v>-5</v>
      </c>
      <c r="D104" s="0" t="n">
        <v>3</v>
      </c>
      <c r="E104" s="0" t="s">
        <v>197</v>
      </c>
    </row>
    <row r="105" customFormat="false" ht="12.8" hidden="false" customHeight="false" outlineLevel="0" collapsed="false">
      <c r="A105" s="1" t="n">
        <v>46168</v>
      </c>
      <c r="B105" s="0" t="s">
        <v>196</v>
      </c>
      <c r="C105" s="0" t="n">
        <v>-1</v>
      </c>
      <c r="D105" s="0" t="n">
        <v>3</v>
      </c>
      <c r="E105" s="0" t="s">
        <v>197</v>
      </c>
    </row>
    <row r="106" customFormat="false" ht="12.8" hidden="false" customHeight="false" outlineLevel="0" collapsed="false">
      <c r="A106" s="1" t="n">
        <v>46169</v>
      </c>
      <c r="B106" s="0" t="s">
        <v>194</v>
      </c>
      <c r="C106" s="0" t="n">
        <v>3</v>
      </c>
      <c r="D106" s="0" t="n">
        <v>3</v>
      </c>
      <c r="E106" s="0" t="s">
        <v>195</v>
      </c>
    </row>
    <row r="107" customFormat="false" ht="12.8" hidden="false" customHeight="false" outlineLevel="0" collapsed="false">
      <c r="A107" s="1" t="n">
        <v>46170</v>
      </c>
      <c r="B107" s="0" t="s">
        <v>194</v>
      </c>
      <c r="C107" s="0" t="n">
        <v>-1</v>
      </c>
      <c r="D107" s="0" t="n">
        <v>3</v>
      </c>
      <c r="E107" s="0" t="s">
        <v>195</v>
      </c>
    </row>
    <row r="108" customFormat="false" ht="12.8" hidden="false" customHeight="false" outlineLevel="0" collapsed="false">
      <c r="A108" s="1" t="n">
        <v>46171</v>
      </c>
      <c r="B108" s="0" t="s">
        <v>194</v>
      </c>
      <c r="C108" s="0" t="n">
        <v>-5</v>
      </c>
      <c r="D108" s="0" t="n">
        <v>3</v>
      </c>
      <c r="E108" s="0" t="s">
        <v>195</v>
      </c>
    </row>
    <row r="109" customFormat="false" ht="12.8" hidden="false" customHeight="false" outlineLevel="0" collapsed="false">
      <c r="A109" s="1" t="n">
        <v>46174</v>
      </c>
      <c r="B109" s="0" t="s">
        <v>194</v>
      </c>
      <c r="C109" s="0" t="n">
        <v>-9</v>
      </c>
      <c r="D109" s="0" t="n">
        <v>3</v>
      </c>
      <c r="E109" s="0" t="s">
        <v>195</v>
      </c>
    </row>
    <row r="110" customFormat="false" ht="12.8" hidden="false" customHeight="false" outlineLevel="0" collapsed="false">
      <c r="A110" s="1" t="n">
        <v>46175</v>
      </c>
      <c r="B110" s="0" t="s">
        <v>194</v>
      </c>
      <c r="C110" s="0" t="n">
        <v>-9</v>
      </c>
      <c r="D110" s="0" t="n">
        <v>3</v>
      </c>
      <c r="E110" s="0" t="s">
        <v>195</v>
      </c>
    </row>
    <row r="111" customFormat="false" ht="12.8" hidden="false" customHeight="false" outlineLevel="0" collapsed="false">
      <c r="A111" s="1" t="n">
        <v>46176</v>
      </c>
      <c r="B111" s="0" t="s">
        <v>194</v>
      </c>
      <c r="C111" s="0" t="n">
        <v>-9</v>
      </c>
      <c r="D111" s="0" t="n">
        <v>3</v>
      </c>
      <c r="E111" s="0" t="s">
        <v>195</v>
      </c>
    </row>
    <row r="112" customFormat="false" ht="12.8" hidden="false" customHeight="false" outlineLevel="0" collapsed="false">
      <c r="A112" s="1" t="n">
        <v>46177</v>
      </c>
      <c r="B112" s="0" t="s">
        <v>194</v>
      </c>
      <c r="C112" s="0" t="n">
        <v>-9</v>
      </c>
      <c r="D112" s="0" t="n">
        <v>3</v>
      </c>
      <c r="E112" s="0" t="s">
        <v>195</v>
      </c>
    </row>
    <row r="113" customFormat="false" ht="12.8" hidden="false" customHeight="false" outlineLevel="0" collapsed="false">
      <c r="A113" s="1" t="n">
        <v>46178</v>
      </c>
      <c r="B113" s="0" t="s">
        <v>194</v>
      </c>
      <c r="C113" s="0" t="n">
        <v>-9</v>
      </c>
      <c r="D113" s="0" t="n">
        <v>3</v>
      </c>
      <c r="E113" s="0" t="s">
        <v>195</v>
      </c>
    </row>
    <row r="114" customFormat="false" ht="12.8" hidden="false" customHeight="false" outlineLevel="0" collapsed="false">
      <c r="A114" s="1" t="n">
        <v>46181</v>
      </c>
      <c r="B114" s="0" t="s">
        <v>196</v>
      </c>
      <c r="C114" s="0" t="n">
        <v>-9</v>
      </c>
      <c r="D114" s="0" t="n">
        <v>3</v>
      </c>
      <c r="E114" s="0" t="s">
        <v>195</v>
      </c>
    </row>
    <row r="115" customFormat="false" ht="12.8" hidden="false" customHeight="false" outlineLevel="0" collapsed="false">
      <c r="A115" s="1" t="n">
        <v>46182</v>
      </c>
      <c r="B115" s="0" t="s">
        <v>194</v>
      </c>
      <c r="C115" s="0" t="n">
        <v>-5</v>
      </c>
      <c r="D115" s="0" t="n">
        <v>3</v>
      </c>
      <c r="E115" s="0" t="s">
        <v>195</v>
      </c>
    </row>
    <row r="116" customFormat="false" ht="12.8" hidden="false" customHeight="false" outlineLevel="0" collapsed="false">
      <c r="A116" s="1" t="n">
        <v>46183</v>
      </c>
      <c r="B116" s="0" t="s">
        <v>194</v>
      </c>
      <c r="C116" s="0" t="n">
        <v>-5</v>
      </c>
      <c r="D116" s="0" t="n">
        <v>3</v>
      </c>
      <c r="E116" s="0" t="s">
        <v>195</v>
      </c>
    </row>
    <row r="117" customFormat="false" ht="12.8" hidden="false" customHeight="false" outlineLevel="0" collapsed="false">
      <c r="A117" s="1" t="n">
        <v>46184</v>
      </c>
      <c r="B117" s="0" t="s">
        <v>194</v>
      </c>
      <c r="C117" s="0" t="n">
        <v>-5</v>
      </c>
      <c r="D117" s="0" t="n">
        <v>3</v>
      </c>
      <c r="E117" s="0" t="s">
        <v>195</v>
      </c>
    </row>
    <row r="118" customFormat="false" ht="12.8" hidden="false" customHeight="false" outlineLevel="0" collapsed="false">
      <c r="A118" s="1" t="n">
        <v>46185</v>
      </c>
      <c r="B118" s="0" t="s">
        <v>194</v>
      </c>
      <c r="C118" s="0" t="n">
        <v>-9</v>
      </c>
      <c r="D118" s="0" t="n">
        <v>3</v>
      </c>
      <c r="E118" s="0" t="s">
        <v>195</v>
      </c>
    </row>
    <row r="119" customFormat="false" ht="12.8" hidden="false" customHeight="false" outlineLevel="0" collapsed="false">
      <c r="A119" s="1" t="n">
        <v>46188</v>
      </c>
      <c r="B119" s="0" t="s">
        <v>196</v>
      </c>
      <c r="C119" s="0" t="n">
        <v>-9</v>
      </c>
      <c r="D119" s="0" t="n">
        <v>3</v>
      </c>
      <c r="E119" s="0" t="s">
        <v>195</v>
      </c>
    </row>
    <row r="120" customFormat="false" ht="12.8" hidden="false" customHeight="false" outlineLevel="0" collapsed="false">
      <c r="A120" s="1" t="n">
        <v>46189</v>
      </c>
      <c r="B120" s="0" t="s">
        <v>196</v>
      </c>
      <c r="C120" s="0" t="n">
        <v>-5</v>
      </c>
      <c r="D120" s="0" t="n">
        <v>3</v>
      </c>
      <c r="E120" s="0" t="s">
        <v>197</v>
      </c>
    </row>
    <row r="121" customFormat="false" ht="12.8" hidden="false" customHeight="false" outlineLevel="0" collapsed="false">
      <c r="A121" s="1" t="n">
        <v>46190</v>
      </c>
      <c r="B121" s="0" t="s">
        <v>194</v>
      </c>
      <c r="C121" s="0" t="n">
        <v>-1</v>
      </c>
      <c r="D121" s="0" t="n">
        <v>3</v>
      </c>
      <c r="E121" s="0" t="s">
        <v>195</v>
      </c>
    </row>
    <row r="122" customFormat="false" ht="12.8" hidden="false" customHeight="false" outlineLevel="0" collapsed="false">
      <c r="A122" s="1" t="n">
        <v>46191</v>
      </c>
      <c r="B122" s="0" t="s">
        <v>196</v>
      </c>
      <c r="C122" s="0" t="n">
        <v>-1</v>
      </c>
      <c r="D122" s="0" t="n">
        <v>3</v>
      </c>
      <c r="E122" s="0" t="s">
        <v>197</v>
      </c>
    </row>
    <row r="123" customFormat="false" ht="12.8" hidden="false" customHeight="false" outlineLevel="0" collapsed="false">
      <c r="A123" s="1" t="n">
        <v>46192</v>
      </c>
      <c r="B123" s="0" t="s">
        <v>194</v>
      </c>
      <c r="C123" s="0" t="n">
        <v>-1</v>
      </c>
      <c r="D123" s="0" t="n">
        <v>3</v>
      </c>
      <c r="E123" s="0" t="s">
        <v>195</v>
      </c>
    </row>
    <row r="124" customFormat="false" ht="12.8" hidden="false" customHeight="false" outlineLevel="0" collapsed="false">
      <c r="A124" s="1" t="n">
        <v>46195</v>
      </c>
      <c r="B124" s="0" t="s">
        <v>194</v>
      </c>
      <c r="C124" s="0" t="n">
        <v>-5</v>
      </c>
      <c r="D124" s="0" t="n">
        <v>3</v>
      </c>
      <c r="E124" s="0" t="s">
        <v>195</v>
      </c>
    </row>
    <row r="125" customFormat="false" ht="12.8" hidden="false" customHeight="false" outlineLevel="0" collapsed="false">
      <c r="A125" s="1" t="n">
        <v>46196</v>
      </c>
      <c r="B125" s="0" t="s">
        <v>194</v>
      </c>
      <c r="C125" s="0" t="n">
        <v>-5</v>
      </c>
      <c r="D125" s="0" t="n">
        <v>3</v>
      </c>
      <c r="E125" s="0" t="s">
        <v>195</v>
      </c>
    </row>
    <row r="126" customFormat="false" ht="12.8" hidden="false" customHeight="false" outlineLevel="0" collapsed="false">
      <c r="A126" s="1" t="n">
        <v>46197</v>
      </c>
      <c r="B126" s="0" t="s">
        <v>196</v>
      </c>
      <c r="C126" s="0" t="n">
        <v>-9</v>
      </c>
      <c r="D126" s="0" t="n">
        <v>3</v>
      </c>
      <c r="E126" s="0" t="s">
        <v>195</v>
      </c>
    </row>
    <row r="127" customFormat="false" ht="12.8" hidden="false" customHeight="false" outlineLevel="0" collapsed="false">
      <c r="A127" s="1" t="n">
        <v>46198</v>
      </c>
      <c r="B127" s="0" t="s">
        <v>194</v>
      </c>
      <c r="C127" s="0" t="n">
        <v>-5</v>
      </c>
      <c r="D127" s="0" t="n">
        <v>3</v>
      </c>
      <c r="E127" s="0" t="s">
        <v>195</v>
      </c>
    </row>
    <row r="128" customFormat="false" ht="12.8" hidden="false" customHeight="false" outlineLevel="0" collapsed="false">
      <c r="A128" s="1" t="n">
        <v>46199</v>
      </c>
      <c r="B128" s="0" t="s">
        <v>196</v>
      </c>
      <c r="C128" s="0" t="n">
        <v>-5</v>
      </c>
      <c r="D128" s="0" t="n">
        <v>3</v>
      </c>
      <c r="E128" s="0" t="s">
        <v>197</v>
      </c>
    </row>
    <row r="129" customFormat="false" ht="12.8" hidden="false" customHeight="false" outlineLevel="0" collapsed="false">
      <c r="A129" s="1" t="n">
        <v>46202</v>
      </c>
      <c r="B129" s="0" t="s">
        <v>194</v>
      </c>
      <c r="C129" s="0" t="n">
        <v>-1</v>
      </c>
      <c r="D129" s="0" t="n">
        <v>3</v>
      </c>
      <c r="E129" s="0" t="s">
        <v>195</v>
      </c>
    </row>
    <row r="130" customFormat="false" ht="12.8" hidden="false" customHeight="false" outlineLevel="0" collapsed="false">
      <c r="A130" s="1" t="n">
        <v>46203</v>
      </c>
      <c r="B130" s="0" t="s">
        <v>196</v>
      </c>
      <c r="C130" s="0" t="n">
        <v>-5</v>
      </c>
      <c r="D130" s="0" t="n">
        <v>3</v>
      </c>
      <c r="E130" s="0" t="s">
        <v>197</v>
      </c>
    </row>
    <row r="131" customFormat="false" ht="12.8" hidden="false" customHeight="false" outlineLevel="0" collapsed="false">
      <c r="A131" s="1" t="n">
        <v>46204</v>
      </c>
      <c r="B131" s="0" t="s">
        <v>196</v>
      </c>
      <c r="C131" s="0" t="n">
        <v>-1</v>
      </c>
      <c r="D131" s="0" t="n">
        <v>3</v>
      </c>
      <c r="E131" s="0" t="s">
        <v>197</v>
      </c>
    </row>
    <row r="132" customFormat="false" ht="12.8" hidden="false" customHeight="false" outlineLevel="0" collapsed="false">
      <c r="A132" s="1" t="n">
        <v>46205</v>
      </c>
      <c r="B132" s="0" t="s">
        <v>194</v>
      </c>
      <c r="C132" s="0" t="n">
        <v>-1</v>
      </c>
      <c r="D132" s="0" t="n">
        <v>3</v>
      </c>
      <c r="E132" s="0" t="s">
        <v>195</v>
      </c>
    </row>
    <row r="133" customFormat="false" ht="12.8" hidden="false" customHeight="false" outlineLevel="0" collapsed="false">
      <c r="A133" s="1" t="n">
        <v>46206</v>
      </c>
      <c r="B133" s="0" t="s">
        <v>196</v>
      </c>
      <c r="C133" s="0" t="n">
        <v>-1</v>
      </c>
      <c r="D133" s="0" t="n">
        <v>3</v>
      </c>
      <c r="E133" s="0" t="s">
        <v>197</v>
      </c>
    </row>
    <row r="134" customFormat="false" ht="12.8" hidden="false" customHeight="false" outlineLevel="0" collapsed="false">
      <c r="A134" s="1" t="n">
        <v>46209</v>
      </c>
      <c r="B134" s="0" t="s">
        <v>196</v>
      </c>
      <c r="C134" s="0" t="n">
        <v>-1</v>
      </c>
      <c r="D134" s="0" t="n">
        <v>3</v>
      </c>
      <c r="E134" s="0" t="s">
        <v>197</v>
      </c>
    </row>
    <row r="135" customFormat="false" ht="12.8" hidden="false" customHeight="false" outlineLevel="0" collapsed="false">
      <c r="A135" s="1" t="n">
        <v>46210</v>
      </c>
      <c r="B135" s="0" t="s">
        <v>196</v>
      </c>
      <c r="C135" s="0" t="n">
        <v>-1</v>
      </c>
      <c r="D135" s="0" t="n">
        <v>3</v>
      </c>
      <c r="E135" s="0" t="s">
        <v>197</v>
      </c>
    </row>
    <row r="136" customFormat="false" ht="12.8" hidden="false" customHeight="false" outlineLevel="0" collapsed="false">
      <c r="A136" s="1" t="n">
        <v>46211</v>
      </c>
      <c r="B136" s="0" t="s">
        <v>196</v>
      </c>
      <c r="C136" s="0" t="n">
        <v>3</v>
      </c>
      <c r="D136" s="0" t="n">
        <v>3</v>
      </c>
      <c r="E136" s="0" t="s">
        <v>197</v>
      </c>
    </row>
    <row r="137" customFormat="false" ht="12.8" hidden="false" customHeight="false" outlineLevel="0" collapsed="false">
      <c r="A137" s="1" t="n">
        <v>46212</v>
      </c>
      <c r="B137" s="0" t="s">
        <v>194</v>
      </c>
      <c r="C137" s="0" t="n">
        <v>3</v>
      </c>
      <c r="D137" s="0" t="n">
        <v>3</v>
      </c>
      <c r="E137" s="0" t="s">
        <v>195</v>
      </c>
    </row>
    <row r="138" customFormat="false" ht="12.8" hidden="false" customHeight="false" outlineLevel="0" collapsed="false">
      <c r="A138" s="1" t="n">
        <v>46213</v>
      </c>
      <c r="B138" s="0" t="s">
        <v>194</v>
      </c>
      <c r="C138" s="0" t="n">
        <v>-1</v>
      </c>
      <c r="D138" s="0" t="n">
        <v>3</v>
      </c>
      <c r="E138" s="0" t="s">
        <v>195</v>
      </c>
    </row>
    <row r="139" customFormat="false" ht="12.8" hidden="false" customHeight="false" outlineLevel="0" collapsed="false">
      <c r="A139" s="1" t="n">
        <v>46216</v>
      </c>
      <c r="B139" s="0" t="s">
        <v>196</v>
      </c>
      <c r="C139" s="0" t="n">
        <v>-5</v>
      </c>
      <c r="D139" s="0" t="n">
        <v>3</v>
      </c>
      <c r="E139" s="0" t="s">
        <v>197</v>
      </c>
    </row>
    <row r="140" customFormat="false" ht="12.8" hidden="false" customHeight="false" outlineLevel="0" collapsed="false">
      <c r="A140" s="1" t="n">
        <v>46217</v>
      </c>
      <c r="B140" s="0" t="s">
        <v>196</v>
      </c>
      <c r="C140" s="0" t="n">
        <v>-5</v>
      </c>
      <c r="D140" s="0" t="n">
        <v>3</v>
      </c>
      <c r="E140" s="0" t="s">
        <v>197</v>
      </c>
    </row>
    <row r="141" customFormat="false" ht="12.8" hidden="false" customHeight="false" outlineLevel="0" collapsed="false">
      <c r="A141" s="1" t="n">
        <v>46218</v>
      </c>
      <c r="B141" s="0" t="s">
        <v>196</v>
      </c>
      <c r="C141" s="0" t="n">
        <v>-1</v>
      </c>
      <c r="D141" s="0" t="n">
        <v>3</v>
      </c>
      <c r="E141" s="0" t="s">
        <v>197</v>
      </c>
    </row>
    <row r="142" customFormat="false" ht="12.8" hidden="false" customHeight="false" outlineLevel="0" collapsed="false">
      <c r="A142" s="1" t="n">
        <v>46219</v>
      </c>
      <c r="B142" s="0" t="s">
        <v>196</v>
      </c>
      <c r="C142" s="0" t="n">
        <v>3</v>
      </c>
      <c r="D142" s="0" t="n">
        <v>3</v>
      </c>
      <c r="E142" s="0" t="s">
        <v>197</v>
      </c>
    </row>
    <row r="143" customFormat="false" ht="12.8" hidden="false" customHeight="false" outlineLevel="0" collapsed="false">
      <c r="A143" s="1" t="n">
        <v>46220</v>
      </c>
      <c r="B143" s="0" t="s">
        <v>194</v>
      </c>
      <c r="C143" s="0" t="n">
        <v>3</v>
      </c>
      <c r="D143" s="0" t="n">
        <v>3</v>
      </c>
      <c r="E143" s="0" t="s">
        <v>195</v>
      </c>
    </row>
    <row r="144" customFormat="false" ht="12.8" hidden="false" customHeight="false" outlineLevel="0" collapsed="false">
      <c r="A144" s="1" t="n">
        <v>46223</v>
      </c>
      <c r="B144" s="0" t="s">
        <v>194</v>
      </c>
      <c r="C144" s="0" t="n">
        <v>-1</v>
      </c>
      <c r="D144" s="0" t="n">
        <v>3</v>
      </c>
      <c r="E144" s="0" t="s">
        <v>195</v>
      </c>
    </row>
    <row r="145" customFormat="false" ht="12.8" hidden="false" customHeight="false" outlineLevel="0" collapsed="false">
      <c r="A145" s="1" t="n">
        <v>46224</v>
      </c>
      <c r="B145" s="0" t="s">
        <v>196</v>
      </c>
      <c r="C145" s="0" t="n">
        <v>-5</v>
      </c>
      <c r="D145" s="0" t="n">
        <v>3</v>
      </c>
      <c r="E145" s="0" t="s">
        <v>197</v>
      </c>
    </row>
    <row r="146" customFormat="false" ht="12.8" hidden="false" customHeight="false" outlineLevel="0" collapsed="false">
      <c r="A146" s="1" t="n">
        <v>46225</v>
      </c>
      <c r="B146" s="0" t="s">
        <v>194</v>
      </c>
      <c r="C146" s="0" t="n">
        <v>-5</v>
      </c>
      <c r="D146" s="0" t="n">
        <v>3</v>
      </c>
      <c r="E146" s="0" t="s">
        <v>195</v>
      </c>
    </row>
    <row r="147" customFormat="false" ht="12.8" hidden="false" customHeight="false" outlineLevel="0" collapsed="false">
      <c r="A147" s="1" t="n">
        <v>46226</v>
      </c>
      <c r="B147" s="0" t="s">
        <v>194</v>
      </c>
      <c r="C147" s="0" t="n">
        <v>-5</v>
      </c>
      <c r="D147" s="0" t="n">
        <v>3</v>
      </c>
      <c r="E147" s="0" t="s">
        <v>195</v>
      </c>
    </row>
    <row r="148" customFormat="false" ht="12.8" hidden="false" customHeight="false" outlineLevel="0" collapsed="false">
      <c r="A148" s="1" t="n">
        <v>46227</v>
      </c>
      <c r="B148" s="0" t="s">
        <v>194</v>
      </c>
      <c r="C148" s="0" t="n">
        <v>-5</v>
      </c>
      <c r="D148" s="0" t="n">
        <v>3</v>
      </c>
      <c r="E148" s="0" t="s">
        <v>195</v>
      </c>
    </row>
    <row r="149" customFormat="false" ht="12.8" hidden="false" customHeight="false" outlineLevel="0" collapsed="false">
      <c r="A149" s="1" t="n">
        <v>46230</v>
      </c>
      <c r="B149" s="0" t="s">
        <v>196</v>
      </c>
      <c r="C149" s="0" t="n">
        <v>-9</v>
      </c>
      <c r="D149" s="0" t="n">
        <v>3</v>
      </c>
      <c r="E149" s="0" t="s">
        <v>195</v>
      </c>
    </row>
    <row r="150" customFormat="false" ht="12.8" hidden="false" customHeight="false" outlineLevel="0" collapsed="false">
      <c r="A150" s="1" t="n">
        <v>46231</v>
      </c>
      <c r="B150" s="0" t="s">
        <v>196</v>
      </c>
      <c r="C150" s="0" t="n">
        <v>-5</v>
      </c>
      <c r="D150" s="0" t="n">
        <v>3</v>
      </c>
      <c r="E150" s="0" t="s">
        <v>197</v>
      </c>
    </row>
    <row r="151" customFormat="false" ht="12.8" hidden="false" customHeight="false" outlineLevel="0" collapsed="false">
      <c r="A151" s="1" t="n">
        <v>46232</v>
      </c>
      <c r="B151" s="0" t="s">
        <v>196</v>
      </c>
      <c r="C151" s="0" t="n">
        <v>-1</v>
      </c>
      <c r="D151" s="0" t="n">
        <v>3</v>
      </c>
      <c r="E151" s="0" t="s">
        <v>197</v>
      </c>
    </row>
    <row r="152" customFormat="false" ht="12.8" hidden="false" customHeight="false" outlineLevel="0" collapsed="false">
      <c r="A152" s="1" t="n">
        <v>46233</v>
      </c>
      <c r="B152" s="0" t="s">
        <v>196</v>
      </c>
      <c r="C152" s="0" t="n">
        <v>3</v>
      </c>
      <c r="D152" s="0" t="n">
        <v>3</v>
      </c>
      <c r="E152" s="0" t="s">
        <v>197</v>
      </c>
    </row>
    <row r="153" customFormat="false" ht="12.8" hidden="false" customHeight="false" outlineLevel="0" collapsed="false">
      <c r="A153" s="1" t="n">
        <v>46234</v>
      </c>
      <c r="B153" s="0" t="s">
        <v>196</v>
      </c>
      <c r="C153" s="0" t="n">
        <v>3</v>
      </c>
      <c r="D153" s="0" t="n">
        <v>3</v>
      </c>
      <c r="E153" s="0" t="s">
        <v>197</v>
      </c>
    </row>
    <row r="154" customFormat="false" ht="12.8" hidden="false" customHeight="false" outlineLevel="0" collapsed="false">
      <c r="A154" s="1" t="n">
        <v>46237</v>
      </c>
      <c r="B154" s="0" t="s">
        <v>196</v>
      </c>
      <c r="C154" s="0" t="n">
        <v>3</v>
      </c>
      <c r="D154" s="0" t="n">
        <v>3</v>
      </c>
      <c r="E154" s="0" t="s">
        <v>197</v>
      </c>
    </row>
    <row r="155" customFormat="false" ht="12.8" hidden="false" customHeight="false" outlineLevel="0" collapsed="false">
      <c r="A155" s="1" t="n">
        <v>46238</v>
      </c>
      <c r="B155" s="0" t="s">
        <v>196</v>
      </c>
      <c r="C155" s="0" t="n">
        <v>3</v>
      </c>
      <c r="D155" s="0" t="n">
        <v>3</v>
      </c>
      <c r="E155" s="0" t="s">
        <v>197</v>
      </c>
    </row>
    <row r="156" customFormat="false" ht="12.8" hidden="false" customHeight="false" outlineLevel="0" collapsed="false">
      <c r="A156" s="1" t="n">
        <v>46239</v>
      </c>
      <c r="B156" s="0" t="s">
        <v>196</v>
      </c>
      <c r="C156" s="0" t="n">
        <v>3</v>
      </c>
      <c r="D156" s="0" t="n">
        <v>3</v>
      </c>
      <c r="E156" s="0" t="s">
        <v>197</v>
      </c>
    </row>
    <row r="157" customFormat="false" ht="12.8" hidden="false" customHeight="false" outlineLevel="0" collapsed="false">
      <c r="A157" s="1" t="n">
        <v>46240</v>
      </c>
      <c r="B157" s="0" t="s">
        <v>196</v>
      </c>
      <c r="C157" s="0" t="n">
        <v>3</v>
      </c>
      <c r="D157" s="0" t="n">
        <v>3</v>
      </c>
      <c r="E157" s="0" t="s">
        <v>197</v>
      </c>
    </row>
    <row r="158" customFormat="false" ht="12.8" hidden="false" customHeight="false" outlineLevel="0" collapsed="false">
      <c r="A158" s="1" t="n">
        <v>46241</v>
      </c>
      <c r="B158" s="0" t="s">
        <v>196</v>
      </c>
      <c r="C158" s="0" t="n">
        <v>3</v>
      </c>
      <c r="D158" s="0" t="n">
        <v>3</v>
      </c>
      <c r="E158" s="0" t="s">
        <v>197</v>
      </c>
    </row>
    <row r="159" customFormat="false" ht="12.8" hidden="false" customHeight="false" outlineLevel="0" collapsed="false">
      <c r="A159" s="1" t="n">
        <v>46244</v>
      </c>
      <c r="B159" s="0" t="s">
        <v>196</v>
      </c>
      <c r="C159" s="0" t="n">
        <v>3</v>
      </c>
      <c r="D159" s="0" t="n">
        <v>3</v>
      </c>
      <c r="E159" s="0" t="s">
        <v>197</v>
      </c>
    </row>
    <row r="160" customFormat="false" ht="12.8" hidden="false" customHeight="false" outlineLevel="0" collapsed="false">
      <c r="A160" s="1" t="n">
        <v>46245</v>
      </c>
      <c r="B160" s="0" t="s">
        <v>196</v>
      </c>
      <c r="C160" s="0" t="n">
        <v>3</v>
      </c>
      <c r="D160" s="0" t="n">
        <v>3</v>
      </c>
      <c r="E160" s="0" t="s">
        <v>197</v>
      </c>
    </row>
    <row r="161" customFormat="false" ht="12.8" hidden="false" customHeight="false" outlineLevel="0" collapsed="false">
      <c r="A161" s="1" t="n">
        <v>46246</v>
      </c>
      <c r="B161" s="0" t="s">
        <v>196</v>
      </c>
      <c r="C161" s="0" t="n">
        <v>3</v>
      </c>
      <c r="D161" s="0" t="n">
        <v>3</v>
      </c>
      <c r="E161" s="0" t="s">
        <v>197</v>
      </c>
    </row>
    <row r="162" customFormat="false" ht="12.8" hidden="false" customHeight="false" outlineLevel="0" collapsed="false">
      <c r="A162" s="1" t="n">
        <v>46247</v>
      </c>
      <c r="B162" s="0" t="s">
        <v>196</v>
      </c>
      <c r="C162" s="0" t="n">
        <v>3</v>
      </c>
      <c r="D162" s="0" t="n">
        <v>3</v>
      </c>
      <c r="E162" s="0" t="s">
        <v>197</v>
      </c>
    </row>
    <row r="163" customFormat="false" ht="12.8" hidden="false" customHeight="false" outlineLevel="0" collapsed="false">
      <c r="A163" s="1" t="n">
        <v>46248</v>
      </c>
      <c r="B163" s="0" t="s">
        <v>194</v>
      </c>
      <c r="C163" s="0" t="n">
        <v>3</v>
      </c>
      <c r="D163" s="0" t="n">
        <v>3</v>
      </c>
      <c r="E163" s="0" t="s">
        <v>195</v>
      </c>
    </row>
    <row r="164" customFormat="false" ht="12.8" hidden="false" customHeight="false" outlineLevel="0" collapsed="false">
      <c r="A164" s="1" t="n">
        <v>46251</v>
      </c>
      <c r="B164" s="0" t="s">
        <v>194</v>
      </c>
      <c r="C164" s="0" t="n">
        <v>-1</v>
      </c>
      <c r="D164" s="0" t="n">
        <v>3</v>
      </c>
      <c r="E164" s="0" t="s">
        <v>195</v>
      </c>
    </row>
    <row r="165" customFormat="false" ht="12.8" hidden="false" customHeight="false" outlineLevel="0" collapsed="false">
      <c r="A165" s="1" t="n">
        <v>46252</v>
      </c>
      <c r="B165" s="0" t="s">
        <v>194</v>
      </c>
      <c r="C165" s="0" t="n">
        <v>-5</v>
      </c>
      <c r="D165" s="0" t="n">
        <v>3</v>
      </c>
      <c r="E165" s="0" t="s">
        <v>195</v>
      </c>
    </row>
    <row r="166" customFormat="false" ht="12.8" hidden="false" customHeight="false" outlineLevel="0" collapsed="false">
      <c r="A166" s="1" t="n">
        <v>46253</v>
      </c>
      <c r="B166" s="0" t="s">
        <v>194</v>
      </c>
      <c r="C166" s="0" t="n">
        <v>-9</v>
      </c>
      <c r="D166" s="0" t="n">
        <v>3</v>
      </c>
      <c r="E166" s="0" t="s">
        <v>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2026-09-02T09:30:36Z</dcterms:modified>
  <cp:revision>3</cp:revision>
  <dc:subject/>
  <dc:title/>
</cp:coreProperties>
</file>